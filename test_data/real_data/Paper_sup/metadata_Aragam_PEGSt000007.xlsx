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24226"/>
  <mc:AlternateContent xmlns:mc="http://schemas.openxmlformats.org/markup-compatibility/2006">
    <mc:Choice Requires="x15">
      <x15ac:absPath xmlns:x15ac="http://schemas.microsoft.com/office/spreadsheetml/2010/11/ac" url="/Users/yueji/Desktop/"/>
    </mc:Choice>
  </mc:AlternateContent>
  <xr:revisionPtr revIDLastSave="0" documentId="8_{08290CE7-E9D1-2644-B123-F4E534251FFD}" xr6:coauthVersionLast="47" xr6:coauthVersionMax="47" xr10:uidLastSave="{00000000-0000-0000-0000-000000000000}"/>
  <bookViews>
    <workbookView xWindow="28800" yWindow="0" windowWidth="38400" windowHeight="21600" activeTab="6" xr2:uid="{00000000-000D-0000-FFFF-FFFF00000000}"/>
  </bookViews>
  <sheets>
    <sheet name="DatasetDescription" sheetId="1" r:id="rId1"/>
    <sheet name="GenomicIdentifier" sheetId="2" r:id="rId2"/>
    <sheet name="Evidence" sheetId="3" r:id="rId3"/>
    <sheet name="validation" sheetId="4" state="hidden" r:id="rId4"/>
    <sheet name="Integration" sheetId="5" r:id="rId5"/>
    <sheet name="Source" sheetId="6" r:id="rId6"/>
    <sheet name="Method"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3" l="1"/>
  <c r="E11" i="3"/>
  <c r="E12" i="3"/>
  <c r="E13" i="3"/>
  <c r="E14" i="3"/>
  <c r="E15" i="3"/>
  <c r="E16" i="3"/>
  <c r="E17" i="3"/>
  <c r="E18" i="3"/>
  <c r="E19" i="3"/>
  <c r="E20" i="3"/>
  <c r="E21" i="3"/>
  <c r="E22" i="3"/>
  <c r="E23" i="3"/>
  <c r="E24" i="3"/>
  <c r="E6" i="3" l="1"/>
  <c r="E7" i="3"/>
  <c r="E4" i="3"/>
  <c r="E25" i="3"/>
  <c r="E28" i="3"/>
  <c r="E29" i="3"/>
  <c r="E9" i="3"/>
  <c r="E5" i="3"/>
  <c r="D176" i="3"/>
  <c r="E176" i="3"/>
  <c r="E177" i="3"/>
  <c r="D177" i="3"/>
  <c r="D123" i="3"/>
  <c r="E123" i="3"/>
  <c r="E134" i="3"/>
  <c r="D134" i="3"/>
  <c r="D117" i="3"/>
  <c r="E117" i="3"/>
  <c r="E62" i="3"/>
  <c r="D62" i="3"/>
  <c r="E171" i="3"/>
  <c r="D171" i="3"/>
  <c r="E145" i="3"/>
  <c r="D145" i="3"/>
  <c r="D108" i="3"/>
  <c r="E108" i="3"/>
  <c r="E161" i="3"/>
  <c r="D161" i="3"/>
  <c r="D172" i="3"/>
  <c r="E172" i="3"/>
  <c r="D159" i="3"/>
  <c r="E159" i="3"/>
  <c r="D73" i="3"/>
  <c r="E73" i="3"/>
  <c r="D155" i="3"/>
  <c r="E155" i="3"/>
  <c r="D137" i="3"/>
  <c r="E137" i="3"/>
  <c r="E55" i="3"/>
  <c r="D55" i="3"/>
  <c r="E58" i="3"/>
  <c r="D58" i="3"/>
  <c r="D90" i="3"/>
  <c r="E90" i="3"/>
  <c r="D157" i="3"/>
  <c r="E157" i="3"/>
  <c r="D208" i="3"/>
  <c r="E208" i="3"/>
  <c r="D169" i="3"/>
  <c r="E169" i="3"/>
  <c r="D59" i="3"/>
  <c r="E59" i="3"/>
  <c r="E89" i="3"/>
  <c r="D89" i="3"/>
  <c r="E80" i="3"/>
  <c r="D80" i="3"/>
  <c r="E115" i="3"/>
  <c r="D115" i="3"/>
  <c r="D95" i="3"/>
  <c r="E95" i="3"/>
  <c r="E156" i="3"/>
  <c r="D156" i="3"/>
  <c r="E111" i="3"/>
  <c r="D111" i="3"/>
  <c r="D104" i="3"/>
  <c r="E104" i="3"/>
  <c r="E100" i="3"/>
  <c r="D100" i="3"/>
  <c r="E136" i="3"/>
  <c r="D136" i="3"/>
  <c r="D194" i="3"/>
  <c r="E194" i="3"/>
  <c r="E116" i="3"/>
  <c r="D116" i="3"/>
  <c r="E202" i="3"/>
  <c r="D202" i="3"/>
  <c r="E68" i="3"/>
  <c r="D68" i="3"/>
  <c r="E92" i="3"/>
  <c r="D92" i="3"/>
  <c r="E170" i="3"/>
  <c r="D170" i="3"/>
  <c r="D162" i="3"/>
  <c r="E162" i="3"/>
  <c r="E93" i="3"/>
  <c r="D93" i="3"/>
  <c r="E203" i="3"/>
  <c r="D203" i="3"/>
  <c r="D187" i="3"/>
  <c r="E187" i="3"/>
  <c r="D180" i="3"/>
  <c r="E180" i="3"/>
  <c r="D76" i="3"/>
  <c r="E76" i="3"/>
  <c r="D61" i="3"/>
  <c r="E61" i="3"/>
  <c r="D165" i="3"/>
  <c r="E165" i="3"/>
  <c r="E122" i="3"/>
  <c r="D122" i="3"/>
  <c r="E152" i="3"/>
  <c r="D152" i="3"/>
  <c r="D65" i="3"/>
  <c r="E65" i="3"/>
  <c r="D207" i="3"/>
  <c r="E207" i="3"/>
  <c r="E160" i="3"/>
  <c r="D160" i="3"/>
  <c r="E154" i="3"/>
  <c r="D154" i="3"/>
  <c r="E191" i="3"/>
  <c r="D191" i="3"/>
  <c r="D128" i="3"/>
  <c r="E128" i="3"/>
  <c r="E60" i="3"/>
  <c r="D60" i="3"/>
  <c r="E102" i="3"/>
  <c r="D102" i="3"/>
  <c r="E114" i="3"/>
  <c r="D114" i="3"/>
  <c r="D151" i="3"/>
  <c r="E151" i="3"/>
  <c r="D185" i="3"/>
  <c r="E185" i="3"/>
  <c r="D78" i="3"/>
  <c r="E78" i="3"/>
  <c r="E106" i="3"/>
  <c r="D106" i="3"/>
  <c r="E51" i="3"/>
  <c r="D51" i="3"/>
  <c r="D173" i="3"/>
  <c r="E173" i="3"/>
  <c r="E129" i="3"/>
  <c r="D129" i="3"/>
  <c r="D83" i="3"/>
  <c r="E83" i="3"/>
  <c r="E77" i="3"/>
  <c r="D77" i="3"/>
  <c r="E86" i="3"/>
  <c r="D86" i="3"/>
  <c r="D88" i="3"/>
  <c r="E88" i="3"/>
  <c r="E79" i="3"/>
  <c r="D79" i="3"/>
  <c r="D197" i="3"/>
  <c r="E197" i="3"/>
  <c r="D118" i="3"/>
  <c r="E118" i="3"/>
  <c r="E112" i="3"/>
  <c r="D112" i="3"/>
  <c r="E97" i="3"/>
  <c r="D97" i="3"/>
  <c r="D143" i="3"/>
  <c r="E143" i="3"/>
  <c r="D126" i="3"/>
  <c r="E126" i="3"/>
  <c r="D99" i="3"/>
  <c r="E99" i="3"/>
  <c r="D201" i="3"/>
  <c r="E201" i="3"/>
  <c r="E179" i="3"/>
  <c r="D179" i="3"/>
  <c r="D75" i="3"/>
  <c r="E75" i="3"/>
  <c r="D101" i="3"/>
  <c r="E101" i="3"/>
  <c r="E96" i="3"/>
  <c r="D96" i="3"/>
  <c r="E66" i="3"/>
  <c r="D66" i="3"/>
  <c r="D166" i="3"/>
  <c r="E166" i="3"/>
  <c r="E91" i="3"/>
  <c r="D91" i="3"/>
  <c r="D53" i="3"/>
  <c r="E53" i="3"/>
  <c r="E127" i="3"/>
  <c r="D127" i="3"/>
  <c r="E81" i="3"/>
  <c r="D81" i="3"/>
  <c r="E125" i="3"/>
  <c r="D125" i="3"/>
  <c r="E109" i="3"/>
  <c r="D109" i="3"/>
  <c r="E120" i="3"/>
  <c r="D120" i="3"/>
  <c r="E98" i="3"/>
  <c r="D98" i="3"/>
  <c r="E141" i="3"/>
  <c r="D141" i="3"/>
  <c r="D130" i="3"/>
  <c r="E130" i="3"/>
  <c r="E56" i="3"/>
  <c r="D56" i="3"/>
  <c r="E84" i="3"/>
  <c r="D84" i="3"/>
  <c r="D69" i="3"/>
  <c r="E69" i="3"/>
  <c r="E132" i="3"/>
  <c r="D132" i="3"/>
  <c r="E133" i="3"/>
  <c r="D133" i="3"/>
  <c r="E167" i="3"/>
  <c r="D167" i="3"/>
  <c r="D110" i="3"/>
  <c r="E110" i="3"/>
  <c r="E178" i="3"/>
  <c r="D178" i="3"/>
  <c r="E52" i="3"/>
  <c r="D52" i="3"/>
  <c r="E121" i="3"/>
  <c r="D121" i="3"/>
  <c r="D57" i="3"/>
  <c r="E57" i="3"/>
  <c r="E107" i="3"/>
  <c r="D107" i="3"/>
  <c r="E148" i="3"/>
  <c r="D148" i="3"/>
  <c r="E142" i="3"/>
  <c r="D142" i="3"/>
  <c r="D186" i="3"/>
  <c r="E186" i="3"/>
  <c r="D189" i="3"/>
  <c r="E189" i="3"/>
  <c r="E144" i="3"/>
  <c r="D144" i="3"/>
  <c r="D181" i="3"/>
  <c r="E181" i="3"/>
  <c r="D200" i="3"/>
  <c r="E200" i="3"/>
  <c r="E205" i="3"/>
  <c r="D205" i="3"/>
  <c r="D204" i="3"/>
  <c r="E204" i="3"/>
  <c r="D74" i="3"/>
  <c r="E74" i="3"/>
  <c r="D164" i="3"/>
  <c r="E164" i="3"/>
  <c r="E94" i="3"/>
  <c r="D94" i="3"/>
  <c r="E54" i="3"/>
  <c r="D54" i="3"/>
  <c r="E103" i="3"/>
  <c r="D103" i="3"/>
  <c r="D138" i="3"/>
  <c r="E138" i="3"/>
  <c r="D150" i="3"/>
  <c r="E150" i="3"/>
  <c r="E67" i="3"/>
  <c r="D67" i="3"/>
  <c r="E199" i="3"/>
  <c r="D199" i="3"/>
  <c r="D87" i="3"/>
  <c r="E87" i="3"/>
  <c r="E85" i="3"/>
  <c r="D85" i="3"/>
  <c r="D184" i="3"/>
  <c r="E184" i="3"/>
  <c r="D72" i="3"/>
  <c r="E72" i="3"/>
  <c r="D190" i="3"/>
  <c r="E190" i="3"/>
  <c r="D192" i="3"/>
  <c r="E192" i="3"/>
  <c r="E119" i="3"/>
  <c r="D119" i="3"/>
  <c r="E168" i="3"/>
  <c r="D168" i="3"/>
  <c r="D175" i="3"/>
  <c r="E175" i="3"/>
  <c r="D70" i="3"/>
  <c r="E70" i="3"/>
  <c r="D149" i="3"/>
  <c r="E149" i="3"/>
  <c r="E147" i="3"/>
  <c r="D147" i="3"/>
  <c r="D182" i="3"/>
  <c r="E182" i="3"/>
  <c r="E64" i="3"/>
  <c r="D64" i="3"/>
  <c r="E124" i="3"/>
  <c r="D124" i="3"/>
  <c r="D146" i="3"/>
  <c r="E146" i="3"/>
  <c r="E188" i="3"/>
  <c r="D188" i="3"/>
  <c r="E71" i="3"/>
  <c r="D71" i="3"/>
  <c r="E113" i="3"/>
  <c r="D113" i="3"/>
  <c r="D193" i="3"/>
  <c r="E193" i="3"/>
  <c r="D195" i="3"/>
  <c r="E195" i="3"/>
  <c r="E174" i="3"/>
  <c r="D174" i="3"/>
  <c r="D105" i="3"/>
  <c r="E105" i="3"/>
  <c r="D206" i="3"/>
  <c r="E206" i="3"/>
  <c r="D63" i="3"/>
  <c r="E63" i="3"/>
  <c r="E198" i="3"/>
  <c r="D198" i="3"/>
  <c r="E139" i="3"/>
  <c r="D139" i="3"/>
  <c r="E158" i="3"/>
  <c r="D158" i="3"/>
  <c r="D131" i="3"/>
  <c r="E131" i="3"/>
  <c r="E50" i="3"/>
  <c r="D50" i="3"/>
  <c r="D153" i="3"/>
  <c r="E153" i="3"/>
  <c r="E135" i="3"/>
  <c r="D135" i="3"/>
  <c r="E163" i="3"/>
  <c r="D163" i="3"/>
  <c r="E196" i="3"/>
  <c r="D196" i="3"/>
  <c r="D183" i="3"/>
  <c r="E183" i="3"/>
  <c r="D82" i="3"/>
  <c r="E82" i="3"/>
  <c r="D140" i="3"/>
  <c r="E140" i="3"/>
  <c r="E49" i="3"/>
  <c r="D49" i="3"/>
</calcChain>
</file>

<file path=xl/sharedStrings.xml><?xml version="1.0" encoding="utf-8"?>
<sst xmlns="http://schemas.openxmlformats.org/spreadsheetml/2006/main" count="508" uniqueCount="338">
  <si>
    <t>Free-text description of the phenotype under investigation.</t>
  </si>
  <si>
    <t>Standard ontology identifier mapped to the trait (e.g., EFO, MONDO, HPO, DOID).</t>
  </si>
  <si>
    <t>Identifier of the origin of the PEG list (e.g., publication, DOI, preprint, URL).</t>
  </si>
  <si>
    <t>Identifier of the GWAS source. Prefer GWAS Catalog accession (GCST); if not available, use PubMed ID, doi, url</t>
  </si>
  <si>
    <t>Detailed description of the GWAS samples.</t>
  </si>
  <si>
    <t>Total number of individuals included in the GWAS analysis.</t>
  </si>
  <si>
    <t>Indicator of whether the GWAS design is case–control (TRUE or FALSE).</t>
  </si>
  <si>
    <t>Free-text description of participant ancestry</t>
  </si>
  <si>
    <t>Broad ancestry category that best describes the sample. Multiple values can be listed separated by '|'.</t>
  </si>
  <si>
    <t>trait_description</t>
  </si>
  <si>
    <t>trait_ontology_id</t>
  </si>
  <si>
    <t>peg_source</t>
  </si>
  <si>
    <t>gwas_source</t>
  </si>
  <si>
    <t>gwas_samples_description</t>
  </si>
  <si>
    <t>gwas_sample_size</t>
  </si>
  <si>
    <t>gwas_case_control_study</t>
  </si>
  <si>
    <t>gwas_sample_ancestry</t>
  </si>
  <si>
    <t>gwas_sample_ancestry_label</t>
  </si>
  <si>
    <t>Ascorbic acid 3-sulfate levels</t>
  </si>
  <si>
    <t>EFO_0800173</t>
  </si>
  <si>
    <t>PMID:36357675</t>
  </si>
  <si>
    <t>GCST000001</t>
  </si>
  <si>
    <t>6,136 Finnish ancestry individuals</t>
  </si>
  <si>
    <t>Finland</t>
  </si>
  <si>
    <t>European</t>
  </si>
  <si>
    <t>coronary artery disease</t>
  </si>
  <si>
    <t>EFO_0001645</t>
  </si>
  <si>
    <t>Explanation of how the main variant was selected  (e.g., lead, sentinel, index, mixed).</t>
  </si>
  <si>
    <t>Additional free-text notes about the variant</t>
  </si>
  <si>
    <t>Genome assembly used to map variants.</t>
  </si>
  <si>
    <t>Version of the source database used for gene symbols/IDs (e.g., HGNC version).</t>
  </si>
  <si>
    <t>Version of the gene symbol reference authority</t>
  </si>
  <si>
    <t>Additional gene-level metadata that supports interpretation.</t>
  </si>
  <si>
    <t>Method used to define locus boundaries</t>
  </si>
  <si>
    <t>Provide the explanation of how the identifier was derived</t>
  </si>
  <si>
    <t>Additional information supporting locus interpretation.</t>
  </si>
  <si>
    <t>variant_type</t>
  </si>
  <si>
    <t>variant_information</t>
  </si>
  <si>
    <t>genome_build</t>
  </si>
  <si>
    <t>gene_id_source_version</t>
  </si>
  <si>
    <t>gene_symbol_source_version</t>
  </si>
  <si>
    <t>info</t>
  </si>
  <si>
    <t>locus_type</t>
  </si>
  <si>
    <t>locus_id</t>
  </si>
  <si>
    <t>locus_info</t>
  </si>
  <si>
    <t>lead</t>
  </si>
  <si>
    <t>The primary variant is the variant with the most significant association p-value in the study</t>
  </si>
  <si>
    <t>GRCh38</t>
  </si>
  <si>
    <t>Ensembl v109</t>
  </si>
  <si>
    <t>HGNC 2025-07-30</t>
  </si>
  <si>
    <t>NA</t>
  </si>
  <si>
    <t>lead_variant +/- 500kb</t>
  </si>
  <si>
    <t>lead_variant</t>
  </si>
  <si>
    <t>Locus information</t>
  </si>
  <si>
    <t>significant</t>
  </si>
  <si>
    <t>279 significant associations from GWAS meta-analysis</t>
  </si>
  <si>
    <t>All protein-coding genes within 500 kb of all 279 genome-wide association</t>
  </si>
  <si>
    <t>Unique column name used in the PEG evidence matrix.</t>
  </si>
  <si>
    <t>Free text explanation of the content in this column..</t>
  </si>
  <si>
    <t>Specific analysis stream within the evidence category.</t>
  </si>
  <si>
    <t>Full evidence category name from the controlled list.</t>
  </si>
  <si>
    <t>Short label assigned from the controlled list of evidence categories.</t>
  </si>
  <si>
    <t>Indicates whether the evidence originates from variant-level or gene-level analysis.</t>
  </si>
  <si>
    <t>Identifier for the data source, created in the source tab.</t>
  </si>
  <si>
    <t>Identifier for the analysis method, created in the method tab.</t>
  </si>
  <si>
    <t>Threshold applied to define significance or inclusion criteria.</t>
  </si>
  <si>
    <t>Additional free text clarifications to aid interpretation.</t>
  </si>
  <si>
    <t>column_header</t>
  </si>
  <si>
    <t>column_description</t>
  </si>
  <si>
    <t>evidence_stream_tag</t>
  </si>
  <si>
    <t>evidence_category</t>
  </si>
  <si>
    <t>evidence_category_abbreviation</t>
  </si>
  <si>
    <t>variant_or_gene_centric</t>
  </si>
  <si>
    <t>source_tag</t>
  </si>
  <si>
    <t>method_tag</t>
  </si>
  <si>
    <t>threshold</t>
  </si>
  <si>
    <t>note</t>
  </si>
  <si>
    <t>QTL_eQTL-aorta (p_value)</t>
  </si>
  <si>
    <t>p-value from eQTL analysis in aorta tissue</t>
  </si>
  <si>
    <t>eQTL</t>
  </si>
  <si>
    <t>Molecular QTL</t>
  </si>
  <si>
    <t>QTL</t>
  </si>
  <si>
    <t>variant-centric</t>
  </si>
  <si>
    <t>source_gtex_aorta</t>
  </si>
  <si>
    <t>soft_fastqtl</t>
  </si>
  <si>
    <t>p_value &lt; 0.05</t>
  </si>
  <si>
    <t>The p-value of association between the variant and the trait from GWAS.</t>
  </si>
  <si>
    <t>Genome-wide association (GWAS) signal</t>
  </si>
  <si>
    <t>The effect size estimate from GWAS; indicates the direction and magnitude of the allele’s effect on the trait.</t>
  </si>
  <si>
    <t>Finemapping and credible sets</t>
  </si>
  <si>
    <t>soft_fgwas</t>
  </si>
  <si>
    <t>PROX</t>
  </si>
  <si>
    <t>If the gene is the nearest gene to the CAD sentinel variant.</t>
  </si>
  <si>
    <t>Proximity to gene (distance)</t>
  </si>
  <si>
    <t>Summary of the tissue-specific enrichment and functionally-informed fine-mapped for the 127 regions enriched in at least one of the ten enriched CAD-relevant tissues. Enrichments showing a &gt;3SD increment in Bayes Factor (BF) are highlighted in red. 
NULLBF = Bayes Factor under the null model; BESTBFJUMP = maximum increment (i.e. enrichment) observed across the ten tissues; PPA = posterior probability of association; HUVEC = human umbilical vein endothelial cells; HSMM = human skeletal muscle myoblasts.</t>
  </si>
  <si>
    <t>FUNC_VEPConsequence</t>
  </si>
  <si>
    <t>Functional consequence of the variant predicted by Ensembl VEP. This column includes only protein altering consequence.</t>
  </si>
  <si>
    <t>Predicted functional impact</t>
  </si>
  <si>
    <t>protein-altering</t>
  </si>
  <si>
    <t>soft_eqtl</t>
  </si>
  <si>
    <t>FDR&lt;5%</t>
  </si>
  <si>
    <t>eQTL look-ups from CAD-relevant tissues (adipose [subcutaneous, visceral omentum], adrenal gland, artery [aorta, coronary, tibial], liver and whole blood) in GTEx v7. Associations are only shown where the eQTL reached a 5% false-discovery rate threshold and the lead eQTL variant was in high LD (r2≥0.8) with the CAD sentinel variant.  Nominal P values were estimated using a two-tailed t-test.
eQTL = expression quantitative trait locus.</t>
  </si>
  <si>
    <t>PheWAS (Phenome-Wide Association Study)</t>
  </si>
  <si>
    <t>source_ukbb</t>
  </si>
  <si>
    <t>soft_phewas</t>
  </si>
  <si>
    <t>Gene-based association</t>
  </si>
  <si>
    <t>gene-centric</t>
  </si>
  <si>
    <t>soft_skato</t>
  </si>
  <si>
    <t>a gene for which a mouse knock-out has a cardiovascular-relevant phenotype</t>
  </si>
  <si>
    <t>Perturbation</t>
  </si>
  <si>
    <t>source_pertub_mouse</t>
  </si>
  <si>
    <t>List of cardiovascular-relevant mouse phenotypes for gene knockouts of genes in genome-wide significant association regions. Columns describe the gene (including HGNC and Mouse Genome Informatics IDs), the mouse model ID and description, and the mouse phenotyping ID and description. The table is ordered alphabetically by gene name.</t>
  </si>
  <si>
    <t>Specifies the mouse model or experimental system used to test gene perturbation effects, particularly those leading to cardiovascular-relevant phenotypes.</t>
  </si>
  <si>
    <t xml:space="preserve">List of genes in CAD-associated regions for which pathogenic (or likely pathogenic) variants were found in ClinVar for phenotypes and disorders related to CAD. </t>
  </si>
  <si>
    <t>Association from curated database</t>
  </si>
  <si>
    <t>source_clinvar</t>
  </si>
  <si>
    <t>The report disease to the gene in the region harbors a variant that ClinVar classifies as having evidence for being pathogenic for a cardiovascular-relevant monogenic disorder</t>
  </si>
  <si>
    <t>CHROMATIN</t>
  </si>
  <si>
    <t>Chromatin interaction</t>
  </si>
  <si>
    <t>COLOC</t>
  </si>
  <si>
    <t>Colocalisation</t>
  </si>
  <si>
    <t>CROSSP</t>
  </si>
  <si>
    <t>Cross-phenotype</t>
  </si>
  <si>
    <t>DB</t>
  </si>
  <si>
    <t>DRUG</t>
  </si>
  <si>
    <t>Drug related</t>
  </si>
  <si>
    <t>EXP</t>
  </si>
  <si>
    <t>Expression</t>
  </si>
  <si>
    <t>FINEMAP</t>
  </si>
  <si>
    <t>FUNC</t>
  </si>
  <si>
    <t>GENEBASE</t>
  </si>
  <si>
    <t>GWAS</t>
  </si>
  <si>
    <t>KNOW</t>
  </si>
  <si>
    <t>Biological Knowledge Inference</t>
  </si>
  <si>
    <t>LD</t>
  </si>
  <si>
    <t>Linkage disequilibrium</t>
  </si>
  <si>
    <t>LIT</t>
  </si>
  <si>
    <t>Literature curation</t>
  </si>
  <si>
    <t>MR</t>
  </si>
  <si>
    <t>Mendelian Randomization (MR)</t>
  </si>
  <si>
    <t>OTHER</t>
  </si>
  <si>
    <t>Other</t>
  </si>
  <si>
    <t>PERTURB</t>
  </si>
  <si>
    <t>PHEWAS</t>
  </si>
  <si>
    <t>PPI</t>
  </si>
  <si>
    <t>Protein–protein interaction</t>
  </si>
  <si>
    <t>REG</t>
  </si>
  <si>
    <t>Regulatory region</t>
  </si>
  <si>
    <t>SET</t>
  </si>
  <si>
    <t>Pathway or gene sets</t>
  </si>
  <si>
    <t>TPWAS</t>
  </si>
  <si>
    <t>Genetically predicted trait association (TWAS/PWAS)</t>
  </si>
  <si>
    <t>Author-assigned analysis name that can be cited as evidence in the integrated_analysis_name field.</t>
  </si>
  <si>
    <t>Free text explanation of the content in this column.</t>
  </si>
  <si>
    <t>Indicates when values in this column reflect the authors’ conclusions for defining the PEG list. NOTE: only **ONE** column per matrix can be assiged as `True`. We recommend including the string 'author_conclusion' in the appropirate column header.</t>
  </si>
  <si>
    <t>A list of variant-centric or gene-centric evidence stream names combined in the integration.</t>
  </si>
  <si>
    <t>A list of integration_tag values from other integration analyses that are included in this integration analysis</t>
  </si>
  <si>
    <t>Identifier for the analysis method (from Method tab).</t>
  </si>
  <si>
    <t>Extra details to aid interpretation.</t>
  </si>
  <si>
    <t>integration_tag</t>
  </si>
  <si>
    <t>author_conclusion</t>
  </si>
  <si>
    <t>evidence_streams_included</t>
  </si>
  <si>
    <t>integrations_included</t>
  </si>
  <si>
    <t>pops</t>
  </si>
  <si>
    <t>INT_pops</t>
  </si>
  <si>
    <t>Integrated score based on multiple evidence types for the gene</t>
  </si>
  <si>
    <t>TRUE</t>
  </si>
  <si>
    <t>FUNC | eQTL | pQTL | FM | 3d |PHEWAS |TWAS</t>
  </si>
  <si>
    <t>pops | flames</t>
  </si>
  <si>
    <t>soft_pops</t>
  </si>
  <si>
    <t>0.05</t>
  </si>
  <si>
    <t xml:space="preserve"> gene with highest PoPS score within 500kb of sentinel.              </t>
  </si>
  <si>
    <t>INT_AuthorConclusion</t>
  </si>
  <si>
    <t>Number of evidence streams supprting the variant-gene pair to the phenotype</t>
  </si>
  <si>
    <t>method_customised</t>
  </si>
  <si>
    <t>Unique identifier for the source.</t>
  </si>
  <si>
    <t>Provenance type indicating the origin of the data source. Use lab_internal for unpublished data generated by your lab. Use publication for published data not deposited in a repository. Use the official name of the resource (e.g., GTEx, ENCODE).</t>
  </si>
  <si>
    <t>Exact filename of the source dataset.</t>
  </si>
  <si>
    <t>Version or release of the dataset.</t>
  </si>
  <si>
    <t>Web link to the source file used in the analysis.</t>
  </si>
  <si>
    <t>Accession identifier if the source file comes from the repository.</t>
  </si>
  <si>
    <t>DOI for the publication containing the source file.</t>
  </si>
  <si>
    <t>Extra details to aid interpretation of the source.</t>
  </si>
  <si>
    <t>Biological origin of the sample (e.g., primary-tissue, organoid, cell-line, iPSC-derived).</t>
  </si>
  <si>
    <t>Primary tissue sampled (detailed anatomical location).</t>
  </si>
  <si>
    <t>Specific cell type, if applicable.</t>
  </si>
  <si>
    <t>Cell line name if sample_origin is "cell-line".</t>
  </si>
  <si>
    <t>Disease status of the donor or sample.</t>
  </si>
  <si>
    <t>Developmental stage of the biosample.</t>
  </si>
  <si>
    <t>Treatments or perturbations applied prior to or during data generation.</t>
  </si>
  <si>
    <t>Sex composition of samples.</t>
  </si>
  <si>
    <t>Species of the sample.</t>
  </si>
  <si>
    <t>Brief summary of sample characteristics and intended use.</t>
  </si>
  <si>
    <t>provenance</t>
  </si>
  <si>
    <t>file_name</t>
  </si>
  <si>
    <t>version</t>
  </si>
  <si>
    <t>url</t>
  </si>
  <si>
    <t>accession_id</t>
  </si>
  <si>
    <t>doi</t>
  </si>
  <si>
    <t>sample_origin</t>
  </si>
  <si>
    <t>tissue</t>
  </si>
  <si>
    <t>cell_type</t>
  </si>
  <si>
    <t>cell_line</t>
  </si>
  <si>
    <t>disease</t>
  </si>
  <si>
    <t>life_stage</t>
  </si>
  <si>
    <t>treatment</t>
  </si>
  <si>
    <t>sex</t>
  </si>
  <si>
    <t>species</t>
  </si>
  <si>
    <t>description</t>
  </si>
  <si>
    <t>GTEx</t>
  </si>
  <si>
    <t>GTEx_Analysis_2017-06-05_v8_RNASeQCv1.1.9_gene_tpm.gct.gz</t>
  </si>
  <si>
    <t>v8</t>
  </si>
  <si>
    <t>https://gtexportal.org/</t>
  </si>
  <si>
    <t>GSE123456</t>
  </si>
  <si>
    <t>10.1038/s41586-020-2493-4</t>
  </si>
  <si>
    <t>primary-tissue</t>
  </si>
  <si>
    <t>aorta</t>
  </si>
  <si>
    <t>alpha cells</t>
  </si>
  <si>
    <t>K562</t>
  </si>
  <si>
    <t>healthy</t>
  </si>
  <si>
    <t>adult</t>
  </si>
  <si>
    <t>anti-IgM treated</t>
  </si>
  <si>
    <t>mixed</t>
  </si>
  <si>
    <t>human</t>
  </si>
  <si>
    <t>Bulk pancreas tissue samples from healthy postmortem adult human donors in GTEx v10. Used for eQTL discovery. Samples span male and female donors aged approximately 20–70 years. No treatment applied.</t>
  </si>
  <si>
    <t>v7</t>
  </si>
  <si>
    <t>https://www.gtexportal.org/home/datasets</t>
  </si>
  <si>
    <t>adipose [subcutaneous, visceral omentum], adrenal gland, artery [aorta, coronary,
tibial], liver and whole blood</t>
  </si>
  <si>
    <t>UK Biobank</t>
  </si>
  <si>
    <t>https://doi.org/10.1038/s41586-018-0579-z</t>
  </si>
  <si>
    <t>UK Biobank (UKB) is a prospective study of approximately 500,000 individuals comprising
members of the UK population aged 40-69 collected from multiple sites across the United
Kingdom from 2006-2010 (14).</t>
  </si>
  <si>
    <t>IMPC</t>
  </si>
  <si>
    <t>Mouse Genome Informatics database</t>
  </si>
  <si>
    <t xml:space="preserve">ClinVar </t>
  </si>
  <si>
    <t>https://www.ncbi.nlm.nih.gov/clinvar/</t>
  </si>
  <si>
    <t>Unique identifier for the method, used in the PEG evidence and integration metadata.</t>
  </si>
  <si>
    <t>Specifies whether the method is a published software tool or a manual approach.</t>
  </si>
  <si>
    <t xml:space="preserve">Manual assertion:ECO_0000218; Automatic assertion:ECO_0000203;Manually integrated combinatorial evidence: ECO_0007674;Automatically integrated combinatorial evidence: ECO_0007673 </t>
  </si>
  <si>
    <t>Name of the software used.</t>
  </si>
  <si>
    <t>Version of the software used.</t>
  </si>
  <si>
    <t>Link to the official software resource.</t>
  </si>
  <si>
    <t>DOI of the software or associated publication.</t>
  </si>
  <si>
    <t>Detailed description of the method, workflow, or customisation applied.</t>
  </si>
  <si>
    <t>method_mode</t>
  </si>
  <si>
    <t>method_mode_ontology_term_id</t>
  </si>
  <si>
    <t>software_name</t>
  </si>
  <si>
    <t>software_version</t>
  </si>
  <si>
    <t>software_url</t>
  </si>
  <si>
    <t>software_doi</t>
  </si>
  <si>
    <t>method_description</t>
  </si>
  <si>
    <t>software</t>
  </si>
  <si>
    <t>ECO_0000203</t>
  </si>
  <si>
    <t>FastQTL</t>
  </si>
  <si>
    <t>v1.0</t>
  </si>
  <si>
    <t>https://github.com/francois-a/fastqtl</t>
  </si>
  <si>
    <t>10.1093/BIOINFORMATICS/BTV722</t>
  </si>
  <si>
    <t>Custom scoring model combining eQTL and chromatin interaction data.</t>
  </si>
  <si>
    <t>soft_vep</t>
  </si>
  <si>
    <t>Ensembl VEP</t>
  </si>
  <si>
    <t>v96.0</t>
  </si>
  <si>
    <t>https://www.ensembl.org/info/docs/tools/vep/index.html</t>
  </si>
  <si>
    <t>fgwas</t>
  </si>
  <si>
    <t>https://github.com/joepickrell/fgwas</t>
  </si>
  <si>
    <t xml:space="preserve">We cross-referenced the sentinel CAD variants and their proxies (r2≥0.8) with STARNET eQTLs
reaching a 5% FDR for all tissues. To ensure the CAD association and eQTL are likely to be
driven by the same causal variant, we retained only those eQTLs where the CAD-associated
variant and the lead eQTL variant had r2≥0.8 among European ancestry participants from UK
Biobank. </t>
  </si>
  <si>
    <t>For disease phenotypes, we performed logistic
regression adjusted for age, sex, genotyping array, and the first five principal components. An
association with a disease phenotype was deemed significant at a Bonferroni-corrected threshold
of p-value&lt;3.4x10-6 (53 diseases x 279 genetic variants). Continuous phenotypes were
residualized after adjusting for age, sex, genotyping array, and the first five principal components;
linear regression was performed on residuals following inverse-normal transformation</t>
  </si>
  <si>
    <t>ECO_0007674</t>
  </si>
  <si>
    <t>PoPS</t>
  </si>
  <si>
    <t>https://doi.org/10.1101/2020.09.08.20190561</t>
  </si>
  <si>
    <t>manual</t>
  </si>
  <si>
    <t>To systematically prioritize likely causal genes for all 279 genome-wide associations, we integrated the following eight of the aforementioned similarity-based or locus-based predictors of causal genes: (1) the top two prioritized genes from PoPS; (2) genes with eQTLs in CAD-relevant tissues from STARNET or GTEx; (3) genes containing protein-altering variants that are in strong LD (r2 ≥ 0.8) with the CAD sentinel variant; (4) genes harboring variants responsible for monogenic disorders of cardiovascular relevance according to ClinVar; (5) genes containing rare coding variants that have been associated with CAD risk in previous WES or array-based studies; (6) genes encoding proteins of causal relevance to CAD per MR studies or that are targets for established cardiovascular drugs; (7) genes that display cardiovascular-relevant phenotypes in knock-out mice from the International Mouse Phenotyping Consortium or Mouse Genome Informatics database; and (8) the nearest gene to the CAD sentinel variant (Fig. 5a). We prioritized the most likely ‘causal gene’ for each association using a consensus-based approach, selecting the gene with the highest, unweighted sum of evidence across all eight predictors.</t>
  </si>
  <si>
    <t>PERTURB_MousePhenotype</t>
  </si>
  <si>
    <t>PERTURB_MouseModel</t>
  </si>
  <si>
    <t>DB_ClinVar</t>
  </si>
  <si>
    <t>http://www.mousephenotype.org</t>
  </si>
  <si>
    <t>http://www.informatics.jax.org</t>
  </si>
  <si>
    <t>The analysis includes only samples from individuals aged 20–29.</t>
  </si>
  <si>
    <t xml:space="preserve">GCST90132315 </t>
  </si>
  <si>
    <t>PMID:36474045</t>
  </si>
  <si>
    <t xml:space="preserve"> GRCh37</t>
  </si>
  <si>
    <t>GWAS_beta</t>
  </si>
  <si>
    <t>GWAS_pvalue</t>
  </si>
  <si>
    <t>QTL_eQTL_summary</t>
  </si>
  <si>
    <t>QTL_eQTL_gtex_Adipose_Subcutaneous_pvalue</t>
  </si>
  <si>
    <t>QTL_eQTL_gtex_Adipose_Visceral_pvalue</t>
  </si>
  <si>
    <t>QTL_eQTL_gtex_Adipose_Visceral_Omentum_pvalue</t>
  </si>
  <si>
    <t>QTL_eQTL_gtex_Adrenal_Gland_pvalue</t>
  </si>
  <si>
    <t>QTL_eQTL_gtex_Artery_Aorta_pvalue</t>
  </si>
  <si>
    <t>QTL_eQTL_gtex_Artery_Coronary_pvalue</t>
  </si>
  <si>
    <t>QTL_eQTL_gtex_Artery_Tibial_pvalue</t>
  </si>
  <si>
    <t>QTL_eQTL_gtex_Liver_pvalue</t>
  </si>
  <si>
    <t>QTL_eQTL_gtex_Whole_Blood_pvalue</t>
  </si>
  <si>
    <t>QTL_eQTL_STARNET_AOR_adjusted_pvalue</t>
  </si>
  <si>
    <t>QTL_eQTL_STARNET_BLOOD_adjusted_pvalue</t>
  </si>
  <si>
    <t>QTL_eQTL_STARNET_LIV_adjusted_pvalue</t>
  </si>
  <si>
    <t>QTL_eQTL_STARNET_MAM_adjusted_pvalue</t>
  </si>
  <si>
    <t>QTL_eQTL_STARNET_SF_adjusted_pvalue</t>
  </si>
  <si>
    <t>QTL_eQTL_STARNET_SKLM_adjusted_pvalue</t>
  </si>
  <si>
    <t>QTL_eQTL_STARNET_VAF_adjusted_pvalue</t>
  </si>
  <si>
    <t>LIT_RareVariant</t>
  </si>
  <si>
    <t>LIT_MRorDrug</t>
  </si>
  <si>
    <t>INT_PoPS_500kb_score</t>
  </si>
  <si>
    <t>INT_PoPS_500kb_rank</t>
  </si>
  <si>
    <t>INT_PoPS_500kb_summary</t>
  </si>
  <si>
    <t>INT_n_predictors</t>
  </si>
  <si>
    <t>Nominal P-value for the association between genotype and gene expression in GTEx subcutaneous adipose tissue.</t>
  </si>
  <si>
    <t>Nominal P-value for the association between genotype and gene expression in GTEx visceral adipose tissue.</t>
  </si>
  <si>
    <t>Nominal P-value for the association between genotype and gene expression in GTEx visceral omentum adipose tissue.</t>
  </si>
  <si>
    <t>Nominal P-value for the association between genotype and gene expression in GTEx adrenal gland tissue.</t>
  </si>
  <si>
    <t>Nominal P-value for the association between genotype and gene expression in GTEx aortic artery tissue.</t>
  </si>
  <si>
    <t>Nominal P-value for the association between genotype and gene expression in GTEx coronary artery tissue.</t>
  </si>
  <si>
    <t>Nominal P-value for the association between genotype and gene expression in GTEx tibial artery tissue.</t>
  </si>
  <si>
    <t>Nominal P-value for the association between genotype and gene expression in GTEx liver tissue.</t>
  </si>
  <si>
    <t>Nominal P-value for the association between genotype and gene expression in GTEx whole blood.</t>
  </si>
  <si>
    <t>Adjusted P-value for the association between genotype and gene expression in atherosclerotic aortic root tissue from STARNET.</t>
  </si>
  <si>
    <t>Adjusted P-value for the association between genotype and gene expression in blood from STARNET.</t>
  </si>
  <si>
    <t>Adjusted P-value for the association between genotype and gene expression in liver tissue from STARNET.</t>
  </si>
  <si>
    <t>Adjusted P-value for the association between genotype and gene expression in internal mammary artery tissue from STARNET.</t>
  </si>
  <si>
    <t>Adjusted P-value for the association between genotype and gene expression in subcutaneous fat tissue from STARNET.</t>
  </si>
  <si>
    <t>Adjusted P-value for the association between genotype and gene expression in skeletal muscle tissue from STARNET.</t>
  </si>
  <si>
    <t>Adjusted P-value for the association between genotype and gene expression in visceral abdominal fat tissue from STARNET.</t>
  </si>
  <si>
    <t>source_eqtl_gtex</t>
  </si>
  <si>
    <t>source_eqtl_starnet</t>
  </si>
  <si>
    <t>Binary indicator of whether there is evidence of a significant eQTL association in any evaluated GTEx or STARNET tissue. A value of 1 indicates that at least one GTEx or STARNET tissue showed a significant eQTL association for the locus/gene; a value of 0 indicates that no significant eQTL association was identified in the evaluated tissues.</t>
  </si>
  <si>
    <t xml:space="preserve">A gene in the region has been shown to have a rare variant association with CAD in a previous WES or genotyping study </t>
  </si>
  <si>
    <t>A gene in the region has been implicated by an effective drug targeting the protein and/or a positive MR study suggesting a causal effect of the protein on CAD</t>
  </si>
  <si>
    <t>method_clinvar</t>
  </si>
  <si>
    <t>Genes associated with cardiovascular-related pathogenic or likely pathogenic variants in ClinVar within ±500 kb of CAD sentinel variants. Variants linked to multiple genes were assigned to all associated genes.</t>
  </si>
  <si>
    <t>pops_500</t>
  </si>
  <si>
    <t>PoPS score for all genes within a 500kb window of each of the 279 sentinel genome-wide significant associations with CAD</t>
  </si>
  <si>
    <t>PoPS association-specific rank for all genes within a 500kb window of each of the 279 sentinel genome-wide significant associations with CAD</t>
  </si>
  <si>
    <t>Binary indicator of PoPS support. Equals 1 if the gene is ranked among the top 2 PoPS-prioritized genes within ±500 kb of the locus, providing positive evidence that the gene may be causal; otherwise 0.</t>
  </si>
  <si>
    <t>more than 4 supported evidence is recognised as positive</t>
  </si>
  <si>
    <t>PROX | eQTL | FUNC
GENEBASE |
PERTUB |
DB | LIT</t>
  </si>
  <si>
    <t>STRANET</t>
  </si>
  <si>
    <t>reviewed the literature for three 
sources of evidence as follows: rare coding variants previously 
associated with CAD, either individually or in aggregate gene-based 
tests, through whole-exome sequencing (WES) or exome array stud-
ies;</t>
  </si>
  <si>
    <t>reviewed the literature for three 
sources of evidence as follows: Mendelian randomization (MR) studies of gene expression, 
protein levels or proximal phenotypes that implicate specific genes as 
causal effector genes for CAD and drugs proven to be effective for 
cardiovascular-relevant indications and that target specific proteins 
encoded by genes.</t>
  </si>
  <si>
    <t>10.1126/science.aad6970</t>
  </si>
  <si>
    <t>ECO_0000218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</si>
</sst>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8E8E8E"/>
      <name val="Calibri"/>
      <family val="2"/>
      <scheme val="minor"/>
    </font>
    <font>
      <b/>
      <sz val="11"/>
      <color theme="1"/>
      <name val="Calibri"/>
      <family val="2"/>
      <scheme val="minor"/>
    </font>
    <font>
      <sz val="11"/>
      <color rgb="FFB7B7B7"/>
      <name val="Calibri"/>
      <family val="2"/>
      <scheme val="minor"/>
    </font>
    <font>
      <sz val="10"/>
      <color theme="1"/>
      <name val="Calibri"/>
      <family val="2"/>
      <scheme val="minor"/>
    </font>
    <font>
      <sz val="10"/>
      <color theme="1"/>
      <name val="Arial"/>
      <family val="2"/>
    </font>
    <font>
      <sz val="10"/>
      <color rgb="FF000000"/>
      <name val="Arial"/>
      <family val="2"/>
    </font>
    <font>
      <sz val="10"/>
      <color rgb="FFFF9900"/>
      <name val="Arial"/>
      <family val="2"/>
    </font>
    <font>
      <u/>
      <sz val="11"/>
      <color theme="10"/>
      <name val="Calibri"/>
      <family val="2"/>
      <scheme val="minor"/>
    </font>
    <font>
      <sz val="11"/>
      <color theme="1"/>
      <name val="Arial"/>
      <family val="2"/>
    </font>
    <font>
      <sz val="11"/>
      <color rgb="FF000000"/>
      <name val="Calibri"/>
      <family val="2"/>
      <scheme val="minor"/>
    </font>
  </fonts>
  <fills count="5">
    <fill>
      <patternFill patternType="none"/>
    </fill>
    <fill>
      <patternFill patternType="gray125"/>
    </fill>
    <fill>
      <patternFill patternType="solid">
        <fgColor rgb="FFF2F2F2"/>
        <bgColor indexed="64"/>
      </patternFill>
    </fill>
    <fill>
      <patternFill patternType="solid">
        <fgColor rgb="FFF8CBAD"/>
        <bgColor indexed="64"/>
      </patternFill>
    </fill>
    <fill>
      <patternFill patternType="solid">
        <fgColor rgb="FFE7E6E6"/>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3" fillId="0" borderId="2" xfId="0" applyFont="1" applyBorder="1" applyAlignment="1">
      <alignment horizontal="left" vertical="center" wrapText="1"/>
    </xf>
    <xf numFmtId="0" fontId="0" fillId="0" borderId="0" xfId="0" applyAlignment="1">
      <alignment vertical="center"/>
    </xf>
    <xf numFmtId="0" fontId="4" fillId="0" borderId="0" xfId="0" applyFont="1" applyAlignment="1">
      <alignment wrapText="1"/>
    </xf>
    <xf numFmtId="0" fontId="5" fillId="0" borderId="0" xfId="0" applyFont="1" applyAlignment="1">
      <alignment wrapText="1"/>
    </xf>
    <xf numFmtId="0" fontId="6" fillId="0" borderId="0" xfId="0" applyFont="1"/>
    <xf numFmtId="0" fontId="5" fillId="0" borderId="0" xfId="0" applyFont="1"/>
    <xf numFmtId="0" fontId="8" fillId="0" borderId="0" xfId="1"/>
    <xf numFmtId="0" fontId="6" fillId="0" borderId="0" xfId="0" applyFont="1" applyAlignment="1">
      <alignment wrapText="1"/>
    </xf>
    <xf numFmtId="0" fontId="0" fillId="0" borderId="0" xfId="0" applyAlignment="1">
      <alignment vertical="center" wrapText="1"/>
    </xf>
    <xf numFmtId="0" fontId="10" fillId="0" borderId="0" xfId="0" applyFont="1" applyAlignment="1">
      <alignment vertical="center" wrapText="1"/>
    </xf>
    <xf numFmtId="0" fontId="0" fillId="0" borderId="0" xfId="0" applyAlignment="1">
      <alignment wrapText="1"/>
    </xf>
    <xf numFmtId="0" fontId="9" fillId="0" borderId="0" xfId="0" applyFont="1" applyAlignment="1">
      <alignment wrapText="1"/>
    </xf>
    <xf numFmtId="0" fontId="7" fillId="0" borderId="0" xfId="0" applyFont="1" applyAlignment="1">
      <alignment wrapText="1"/>
    </xf>
    <xf numFmtId="15" fontId="0" fillId="0" borderId="0" xfId="0" applyNumberForma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s://gtexportal.org/" TargetMode="External"/><Relationship Id="rId2" Type="http://schemas.openxmlformats.org/officeDocument/2006/relationships/hyperlink" Target="http://www.informatics.jax.org/" TargetMode="External"/><Relationship Id="rId1" Type="http://schemas.openxmlformats.org/officeDocument/2006/relationships/hyperlink" Target="http://www.mousephenotype.org/" TargetMode="External"/><Relationship Id="rId4" Type="http://schemas.openxmlformats.org/officeDocument/2006/relationships/hyperlink" Target="https://doi.org/10.1126/science.aad697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francois-a/fastqt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0"/>
  <sheetViews>
    <sheetView workbookViewId="0">
      <pane ySplit="3" topLeftCell="A4" activePane="bottomLeft" state="frozen"/>
      <selection pane="bottomLeft" activeCell="D4" sqref="D4"/>
    </sheetView>
  </sheetViews>
  <sheetFormatPr baseColWidth="10" defaultColWidth="8.83203125" defaultRowHeight="15" x14ac:dyDescent="0.2"/>
  <cols>
    <col min="1" max="2" width="19.6640625" customWidth="1"/>
    <col min="3" max="3" width="14.6640625" customWidth="1"/>
    <col min="4" max="4" width="17.6640625" customWidth="1"/>
    <col min="5" max="5" width="26.6640625" customWidth="1"/>
    <col min="6" max="6" width="18.6640625" customWidth="1"/>
    <col min="7" max="7" width="25.6640625" customWidth="1"/>
    <col min="8" max="8" width="22.6640625" customWidth="1"/>
    <col min="9" max="9" width="28.6640625" customWidth="1"/>
  </cols>
  <sheetData>
    <row r="1" spans="1:9" ht="42" customHeight="1" x14ac:dyDescent="0.2">
      <c r="A1" s="1" t="s">
        <v>0</v>
      </c>
      <c r="B1" s="1" t="s">
        <v>1</v>
      </c>
      <c r="C1" s="1" t="s">
        <v>2</v>
      </c>
      <c r="D1" s="1" t="s">
        <v>3</v>
      </c>
      <c r="E1" s="1" t="s">
        <v>4</v>
      </c>
      <c r="F1" s="1" t="s">
        <v>5</v>
      </c>
      <c r="G1" s="1" t="s">
        <v>6</v>
      </c>
      <c r="H1" s="1" t="s">
        <v>7</v>
      </c>
      <c r="I1" s="1" t="s">
        <v>8</v>
      </c>
    </row>
    <row r="2" spans="1:9" ht="22" customHeight="1" x14ac:dyDescent="0.2">
      <c r="A2" s="2" t="s">
        <v>9</v>
      </c>
      <c r="B2" s="3" t="s">
        <v>10</v>
      </c>
      <c r="C2" s="3" t="s">
        <v>11</v>
      </c>
      <c r="D2" s="3" t="s">
        <v>12</v>
      </c>
      <c r="E2" s="3" t="s">
        <v>13</v>
      </c>
      <c r="F2" s="3" t="s">
        <v>14</v>
      </c>
      <c r="G2" s="3" t="s">
        <v>15</v>
      </c>
      <c r="H2" s="3" t="s">
        <v>16</v>
      </c>
      <c r="I2" s="3" t="s">
        <v>17</v>
      </c>
    </row>
    <row r="3" spans="1:9" ht="36" customHeight="1" x14ac:dyDescent="0.2">
      <c r="A3" s="4" t="s">
        <v>18</v>
      </c>
      <c r="B3" s="4" t="s">
        <v>19</v>
      </c>
      <c r="C3" s="4" t="s">
        <v>20</v>
      </c>
      <c r="D3" s="4" t="s">
        <v>21</v>
      </c>
      <c r="E3" s="4" t="s">
        <v>22</v>
      </c>
      <c r="F3" s="4">
        <v>6136</v>
      </c>
      <c r="G3" s="4" t="b">
        <v>0</v>
      </c>
      <c r="H3" s="4" t="s">
        <v>23</v>
      </c>
      <c r="I3" s="4" t="s">
        <v>24</v>
      </c>
    </row>
    <row r="4" spans="1:9" s="5" customFormat="1" ht="18" customHeight="1" x14ac:dyDescent="0.2">
      <c r="A4" s="6" t="s">
        <v>25</v>
      </c>
      <c r="B4" s="6" t="s">
        <v>26</v>
      </c>
      <c r="C4" s="5" t="s">
        <v>277</v>
      </c>
      <c r="D4" s="6" t="s">
        <v>276</v>
      </c>
    </row>
    <row r="5" spans="1:9" s="5" customFormat="1" ht="18" customHeight="1" x14ac:dyDescent="0.2"/>
    <row r="6" spans="1:9" s="5" customFormat="1" ht="18" customHeight="1" x14ac:dyDescent="0.2"/>
    <row r="7" spans="1:9" s="5" customFormat="1" ht="18" customHeight="1" x14ac:dyDescent="0.2"/>
    <row r="8" spans="1:9" s="5" customFormat="1" ht="18" customHeight="1" x14ac:dyDescent="0.2"/>
    <row r="9" spans="1:9" s="5" customFormat="1" ht="18" customHeight="1" x14ac:dyDescent="0.2"/>
    <row r="10" spans="1:9" s="5" customFormat="1" ht="18" customHeight="1" x14ac:dyDescent="0.2"/>
    <row r="11" spans="1:9" s="5" customFormat="1" ht="18" customHeight="1" x14ac:dyDescent="0.2"/>
    <row r="12" spans="1:9" s="5" customFormat="1" ht="18" customHeight="1" x14ac:dyDescent="0.2"/>
    <row r="13" spans="1:9" s="5" customFormat="1" ht="18" customHeight="1" x14ac:dyDescent="0.2"/>
    <row r="14" spans="1:9" s="5" customFormat="1" ht="18" customHeight="1" x14ac:dyDescent="0.2"/>
    <row r="15" spans="1:9" s="5" customFormat="1" ht="18" customHeight="1" x14ac:dyDescent="0.2"/>
    <row r="16" spans="1:9" s="5" customFormat="1" ht="18" customHeight="1" x14ac:dyDescent="0.2"/>
    <row r="17" s="5" customFormat="1" ht="18" customHeight="1" x14ac:dyDescent="0.2"/>
    <row r="18" s="5" customFormat="1" ht="18" customHeight="1" x14ac:dyDescent="0.2"/>
    <row r="19" s="5" customFormat="1" ht="18" customHeight="1" x14ac:dyDescent="0.2"/>
    <row r="20" s="5" customFormat="1" ht="18" customHeight="1" x14ac:dyDescent="0.2"/>
    <row r="21" s="5" customFormat="1" ht="18" customHeight="1" x14ac:dyDescent="0.2"/>
    <row r="22" s="5" customFormat="1" ht="18" customHeight="1" x14ac:dyDescent="0.2"/>
    <row r="23" s="5" customFormat="1" ht="18" customHeight="1" x14ac:dyDescent="0.2"/>
    <row r="24" s="5" customFormat="1" ht="18" customHeight="1" x14ac:dyDescent="0.2"/>
    <row r="25" s="5" customFormat="1" ht="18" customHeight="1" x14ac:dyDescent="0.2"/>
    <row r="26" s="5" customFormat="1" ht="18" customHeight="1" x14ac:dyDescent="0.2"/>
    <row r="27" s="5" customFormat="1" ht="18" customHeight="1" x14ac:dyDescent="0.2"/>
    <row r="28" s="5" customFormat="1" ht="18" customHeight="1" x14ac:dyDescent="0.2"/>
    <row r="29" s="5" customFormat="1" ht="18" customHeight="1" x14ac:dyDescent="0.2"/>
    <row r="30" s="5" customFormat="1" ht="18" customHeight="1" x14ac:dyDescent="0.2"/>
    <row r="31" s="5" customFormat="1" ht="18" customHeight="1" x14ac:dyDescent="0.2"/>
    <row r="32" s="5" customFormat="1" ht="18" customHeight="1" x14ac:dyDescent="0.2"/>
    <row r="33" s="5" customFormat="1" ht="18" customHeight="1" x14ac:dyDescent="0.2"/>
    <row r="34" s="5" customFormat="1" ht="18" customHeight="1" x14ac:dyDescent="0.2"/>
    <row r="35" s="5" customFormat="1" ht="18" customHeight="1" x14ac:dyDescent="0.2"/>
    <row r="36" s="5" customFormat="1" ht="18" customHeight="1" x14ac:dyDescent="0.2"/>
    <row r="37" s="5" customFormat="1" ht="18" customHeight="1" x14ac:dyDescent="0.2"/>
    <row r="38" s="5" customFormat="1" ht="18" customHeight="1" x14ac:dyDescent="0.2"/>
    <row r="39" s="5" customFormat="1" ht="18" customHeight="1" x14ac:dyDescent="0.2"/>
    <row r="40" s="5" customFormat="1" ht="18" customHeight="1" x14ac:dyDescent="0.2"/>
    <row r="41" s="5" customFormat="1" ht="18" customHeight="1" x14ac:dyDescent="0.2"/>
    <row r="42" s="5" customFormat="1" ht="18" customHeight="1" x14ac:dyDescent="0.2"/>
    <row r="43" s="5" customFormat="1" ht="18" customHeight="1" x14ac:dyDescent="0.2"/>
    <row r="44" s="5" customFormat="1" ht="18" customHeight="1" x14ac:dyDescent="0.2"/>
    <row r="45" s="5" customFormat="1" ht="18" customHeight="1" x14ac:dyDescent="0.2"/>
    <row r="46" s="5" customFormat="1" ht="18" customHeight="1" x14ac:dyDescent="0.2"/>
    <row r="47" s="5" customFormat="1" ht="18" customHeight="1" x14ac:dyDescent="0.2"/>
    <row r="48" s="5" customFormat="1" ht="18" customHeight="1" x14ac:dyDescent="0.2"/>
    <row r="49" s="5" customFormat="1" ht="18" customHeight="1" x14ac:dyDescent="0.2"/>
    <row r="50" s="5" customFormat="1" ht="18" customHeight="1" x14ac:dyDescent="0.2"/>
    <row r="51" s="5" customFormat="1" ht="18" customHeight="1" x14ac:dyDescent="0.2"/>
    <row r="52" s="5" customFormat="1" ht="18" customHeight="1" x14ac:dyDescent="0.2"/>
    <row r="53" s="5" customFormat="1" ht="18" customHeight="1" x14ac:dyDescent="0.2"/>
    <row r="54" s="5" customFormat="1" ht="18" customHeight="1" x14ac:dyDescent="0.2"/>
    <row r="55" s="5" customFormat="1" ht="18" customHeight="1" x14ac:dyDescent="0.2"/>
    <row r="56" s="5" customFormat="1" ht="18" customHeight="1" x14ac:dyDescent="0.2"/>
    <row r="57" s="5" customFormat="1" ht="18" customHeight="1" x14ac:dyDescent="0.2"/>
    <row r="58" s="5" customFormat="1" ht="18" customHeight="1" x14ac:dyDescent="0.2"/>
    <row r="59" s="5" customFormat="1" ht="18" customHeight="1" x14ac:dyDescent="0.2"/>
    <row r="60" s="5" customFormat="1" ht="18" customHeight="1" x14ac:dyDescent="0.2"/>
    <row r="61" s="5" customFormat="1" ht="18" customHeight="1" x14ac:dyDescent="0.2"/>
    <row r="62" s="5" customFormat="1" ht="18" customHeight="1" x14ac:dyDescent="0.2"/>
    <row r="63" s="5" customFormat="1" ht="18" customHeight="1" x14ac:dyDescent="0.2"/>
    <row r="64" s="5" customFormat="1" ht="18" customHeight="1" x14ac:dyDescent="0.2"/>
    <row r="65" s="5" customFormat="1" ht="18" customHeight="1" x14ac:dyDescent="0.2"/>
    <row r="66" s="5" customFormat="1" ht="18" customHeight="1" x14ac:dyDescent="0.2"/>
    <row r="67" s="5" customFormat="1" ht="18" customHeight="1" x14ac:dyDescent="0.2"/>
    <row r="68" s="5" customFormat="1" ht="18" customHeight="1" x14ac:dyDescent="0.2"/>
    <row r="69" s="5" customFormat="1" ht="18" customHeight="1" x14ac:dyDescent="0.2"/>
    <row r="70" s="5" customFormat="1" ht="18" customHeight="1" x14ac:dyDescent="0.2"/>
    <row r="71" s="5" customFormat="1" ht="18" customHeight="1" x14ac:dyDescent="0.2"/>
    <row r="72" s="5" customFormat="1" ht="18" customHeight="1" x14ac:dyDescent="0.2"/>
    <row r="73" s="5" customFormat="1" ht="18" customHeight="1" x14ac:dyDescent="0.2"/>
    <row r="74" s="5" customFormat="1" ht="18" customHeight="1" x14ac:dyDescent="0.2"/>
    <row r="75" s="5" customFormat="1" ht="18" customHeight="1" x14ac:dyDescent="0.2"/>
    <row r="76" s="5" customFormat="1" ht="18" customHeight="1" x14ac:dyDescent="0.2"/>
    <row r="77" s="5" customFormat="1" ht="18" customHeight="1" x14ac:dyDescent="0.2"/>
    <row r="78" s="5" customFormat="1" ht="18" customHeight="1" x14ac:dyDescent="0.2"/>
    <row r="79" s="5" customFormat="1" ht="18" customHeight="1" x14ac:dyDescent="0.2"/>
    <row r="80" s="5" customFormat="1" ht="18" customHeight="1" x14ac:dyDescent="0.2"/>
    <row r="81" s="5" customFormat="1" ht="18" customHeight="1" x14ac:dyDescent="0.2"/>
    <row r="82" s="5" customFormat="1" ht="18" customHeight="1" x14ac:dyDescent="0.2"/>
    <row r="83" s="5" customFormat="1" ht="18" customHeight="1" x14ac:dyDescent="0.2"/>
    <row r="84" s="5" customFormat="1" ht="18" customHeight="1" x14ac:dyDescent="0.2"/>
    <row r="85" s="5" customFormat="1" ht="18" customHeight="1" x14ac:dyDescent="0.2"/>
    <row r="86" s="5" customFormat="1" ht="18" customHeight="1" x14ac:dyDescent="0.2"/>
    <row r="87" s="5" customFormat="1" ht="18" customHeight="1" x14ac:dyDescent="0.2"/>
    <row r="88" s="5" customFormat="1" ht="18" customHeight="1" x14ac:dyDescent="0.2"/>
    <row r="89" s="5" customFormat="1" ht="18" customHeight="1" x14ac:dyDescent="0.2"/>
    <row r="90" s="5" customFormat="1" ht="18" customHeight="1" x14ac:dyDescent="0.2"/>
    <row r="91" s="5" customFormat="1" ht="18" customHeight="1" x14ac:dyDescent="0.2"/>
    <row r="92" s="5" customFormat="1" ht="18" customHeight="1" x14ac:dyDescent="0.2"/>
    <row r="93" s="5" customFormat="1" ht="18" customHeight="1" x14ac:dyDescent="0.2"/>
    <row r="94" s="5" customFormat="1" ht="18" customHeight="1" x14ac:dyDescent="0.2"/>
    <row r="95" s="5" customFormat="1" ht="18" customHeight="1" x14ac:dyDescent="0.2"/>
    <row r="96" s="5" customFormat="1" ht="18" customHeight="1" x14ac:dyDescent="0.2"/>
    <row r="97" s="5" customFormat="1" ht="18" customHeight="1" x14ac:dyDescent="0.2"/>
    <row r="98" s="5" customFormat="1" ht="18" customHeight="1" x14ac:dyDescent="0.2"/>
    <row r="99" s="5" customFormat="1" ht="18" customHeight="1" x14ac:dyDescent="0.2"/>
    <row r="100" s="5" customFormat="1" ht="18" customHeight="1" x14ac:dyDescent="0.2"/>
    <row r="101" s="5" customFormat="1" ht="18" customHeight="1" x14ac:dyDescent="0.2"/>
    <row r="102" s="5" customFormat="1" ht="18" customHeight="1" x14ac:dyDescent="0.2"/>
    <row r="103" s="5" customFormat="1" ht="18" customHeight="1" x14ac:dyDescent="0.2"/>
    <row r="104" s="5" customFormat="1" ht="18" customHeight="1" x14ac:dyDescent="0.2"/>
    <row r="105" s="5" customFormat="1" ht="18" customHeight="1" x14ac:dyDescent="0.2"/>
    <row r="106" s="5" customFormat="1" ht="18" customHeight="1" x14ac:dyDescent="0.2"/>
    <row r="107" s="5" customFormat="1" ht="18" customHeight="1" x14ac:dyDescent="0.2"/>
    <row r="108" s="5" customFormat="1" ht="18" customHeight="1" x14ac:dyDescent="0.2"/>
    <row r="109" s="5" customFormat="1" ht="18" customHeight="1" x14ac:dyDescent="0.2"/>
    <row r="110" s="5" customFormat="1" ht="18" customHeight="1" x14ac:dyDescent="0.2"/>
    <row r="111" s="5" customFormat="1" ht="18" customHeight="1" x14ac:dyDescent="0.2"/>
    <row r="112" s="5" customFormat="1" ht="18" customHeight="1" x14ac:dyDescent="0.2"/>
    <row r="113" s="5" customFormat="1" ht="18" customHeight="1" x14ac:dyDescent="0.2"/>
    <row r="114" s="5" customFormat="1" ht="18" customHeight="1" x14ac:dyDescent="0.2"/>
    <row r="115" s="5" customFormat="1" ht="18" customHeight="1" x14ac:dyDescent="0.2"/>
    <row r="116" s="5" customFormat="1" ht="18" customHeight="1" x14ac:dyDescent="0.2"/>
    <row r="117" s="5" customFormat="1" ht="18" customHeight="1" x14ac:dyDescent="0.2"/>
    <row r="118" s="5" customFormat="1" ht="18" customHeight="1" x14ac:dyDescent="0.2"/>
    <row r="119" s="5" customFormat="1" ht="18" customHeight="1" x14ac:dyDescent="0.2"/>
    <row r="120" s="5" customFormat="1" ht="18" customHeight="1" x14ac:dyDescent="0.2"/>
    <row r="121" s="5" customFormat="1" ht="18" customHeight="1" x14ac:dyDescent="0.2"/>
    <row r="122" s="5" customFormat="1" ht="18" customHeight="1" x14ac:dyDescent="0.2"/>
    <row r="123" s="5" customFormat="1" ht="18" customHeight="1" x14ac:dyDescent="0.2"/>
    <row r="124" s="5" customFormat="1" ht="18" customHeight="1" x14ac:dyDescent="0.2"/>
    <row r="125" s="5" customFormat="1" ht="18" customHeight="1" x14ac:dyDescent="0.2"/>
    <row r="126" s="5" customFormat="1" ht="18" customHeight="1" x14ac:dyDescent="0.2"/>
    <row r="127" s="5" customFormat="1" ht="18" customHeight="1" x14ac:dyDescent="0.2"/>
    <row r="128" s="5" customFormat="1" ht="18" customHeight="1" x14ac:dyDescent="0.2"/>
    <row r="129" s="5" customFormat="1" ht="18" customHeight="1" x14ac:dyDescent="0.2"/>
    <row r="130" s="5" customFormat="1" ht="18" customHeight="1" x14ac:dyDescent="0.2"/>
    <row r="131" s="5" customFormat="1" ht="18" customHeight="1" x14ac:dyDescent="0.2"/>
    <row r="132" s="5" customFormat="1" ht="18" customHeight="1" x14ac:dyDescent="0.2"/>
    <row r="133" s="5" customFormat="1" ht="18" customHeight="1" x14ac:dyDescent="0.2"/>
    <row r="134" s="5" customFormat="1" ht="18" customHeight="1" x14ac:dyDescent="0.2"/>
    <row r="135" s="5" customFormat="1" ht="18" customHeight="1" x14ac:dyDescent="0.2"/>
    <row r="136" s="5" customFormat="1" ht="18" customHeight="1" x14ac:dyDescent="0.2"/>
    <row r="137" s="5" customFormat="1" ht="18" customHeight="1" x14ac:dyDescent="0.2"/>
    <row r="138" s="5" customFormat="1" ht="18" customHeight="1" x14ac:dyDescent="0.2"/>
    <row r="139" s="5" customFormat="1" ht="18" customHeight="1" x14ac:dyDescent="0.2"/>
    <row r="140" s="5" customFormat="1" ht="18" customHeight="1" x14ac:dyDescent="0.2"/>
    <row r="141" s="5" customFormat="1" ht="18" customHeight="1" x14ac:dyDescent="0.2"/>
    <row r="142" s="5" customFormat="1" ht="18" customHeight="1" x14ac:dyDescent="0.2"/>
    <row r="143" s="5" customFormat="1" ht="18" customHeight="1" x14ac:dyDescent="0.2"/>
    <row r="144" s="5" customFormat="1" ht="18" customHeight="1" x14ac:dyDescent="0.2"/>
    <row r="145" s="5" customFormat="1" ht="18" customHeight="1" x14ac:dyDescent="0.2"/>
    <row r="146" s="5" customFormat="1" ht="18" customHeight="1" x14ac:dyDescent="0.2"/>
    <row r="147" s="5" customFormat="1" ht="18" customHeight="1" x14ac:dyDescent="0.2"/>
    <row r="148" s="5" customFormat="1" ht="18" customHeight="1" x14ac:dyDescent="0.2"/>
    <row r="149" s="5" customFormat="1" ht="18" customHeight="1" x14ac:dyDescent="0.2"/>
    <row r="150" s="5" customFormat="1" ht="18" customHeight="1" x14ac:dyDescent="0.2"/>
    <row r="151" s="5" customFormat="1" ht="18" customHeight="1" x14ac:dyDescent="0.2"/>
    <row r="152" s="5" customFormat="1" ht="18" customHeight="1" x14ac:dyDescent="0.2"/>
    <row r="153" s="5" customFormat="1" ht="18" customHeight="1" x14ac:dyDescent="0.2"/>
    <row r="154" s="5" customFormat="1" ht="18" customHeight="1" x14ac:dyDescent="0.2"/>
    <row r="155" s="5" customFormat="1" ht="18" customHeight="1" x14ac:dyDescent="0.2"/>
    <row r="156" s="5" customFormat="1" ht="18" customHeight="1" x14ac:dyDescent="0.2"/>
    <row r="157" s="5" customFormat="1" ht="18" customHeight="1" x14ac:dyDescent="0.2"/>
    <row r="158" s="5" customFormat="1" ht="18" customHeight="1" x14ac:dyDescent="0.2"/>
    <row r="159" s="5" customFormat="1" ht="18" customHeight="1" x14ac:dyDescent="0.2"/>
    <row r="160" s="5" customFormat="1" ht="18" customHeight="1" x14ac:dyDescent="0.2"/>
    <row r="161" s="5" customFormat="1" ht="18" customHeight="1" x14ac:dyDescent="0.2"/>
    <row r="162" s="5" customFormat="1" ht="18" customHeight="1" x14ac:dyDescent="0.2"/>
    <row r="163" s="5" customFormat="1" ht="18" customHeight="1" x14ac:dyDescent="0.2"/>
    <row r="164" s="5" customFormat="1" ht="18" customHeight="1" x14ac:dyDescent="0.2"/>
    <row r="165" s="5" customFormat="1" ht="18" customHeight="1" x14ac:dyDescent="0.2"/>
    <row r="166" s="5" customFormat="1" ht="18" customHeight="1" x14ac:dyDescent="0.2"/>
    <row r="167" s="5" customFormat="1" ht="18" customHeight="1" x14ac:dyDescent="0.2"/>
    <row r="168" s="5" customFormat="1" ht="18" customHeight="1" x14ac:dyDescent="0.2"/>
    <row r="169" s="5" customFormat="1" ht="18" customHeight="1" x14ac:dyDescent="0.2"/>
    <row r="170" s="5" customFormat="1" ht="18" customHeight="1" x14ac:dyDescent="0.2"/>
    <row r="171" s="5" customFormat="1" ht="18" customHeight="1" x14ac:dyDescent="0.2"/>
    <row r="172" s="5" customFormat="1" ht="18" customHeight="1" x14ac:dyDescent="0.2"/>
    <row r="173" s="5" customFormat="1" ht="18" customHeight="1" x14ac:dyDescent="0.2"/>
    <row r="174" s="5" customFormat="1" ht="18" customHeight="1" x14ac:dyDescent="0.2"/>
    <row r="175" s="5" customFormat="1" ht="18" customHeight="1" x14ac:dyDescent="0.2"/>
    <row r="176" s="5" customFormat="1" ht="18" customHeight="1" x14ac:dyDescent="0.2"/>
    <row r="177" s="5" customFormat="1" ht="18" customHeight="1" x14ac:dyDescent="0.2"/>
    <row r="178" s="5" customFormat="1" ht="18" customHeight="1" x14ac:dyDescent="0.2"/>
    <row r="179" s="5" customFormat="1" ht="18" customHeight="1" x14ac:dyDescent="0.2"/>
    <row r="180" s="5" customFormat="1" ht="18" customHeight="1" x14ac:dyDescent="0.2"/>
    <row r="181" s="5" customFormat="1" ht="18" customHeight="1" x14ac:dyDescent="0.2"/>
    <row r="182" s="5" customFormat="1" ht="18" customHeight="1" x14ac:dyDescent="0.2"/>
    <row r="183" s="5" customFormat="1" ht="18" customHeight="1" x14ac:dyDescent="0.2"/>
    <row r="184" s="5" customFormat="1" ht="18" customHeight="1" x14ac:dyDescent="0.2"/>
    <row r="185" s="5" customFormat="1" ht="18" customHeight="1" x14ac:dyDescent="0.2"/>
    <row r="186" s="5" customFormat="1" ht="18" customHeight="1" x14ac:dyDescent="0.2"/>
    <row r="187" s="5" customFormat="1" ht="18" customHeight="1" x14ac:dyDescent="0.2"/>
    <row r="188" s="5" customFormat="1" ht="18" customHeight="1" x14ac:dyDescent="0.2"/>
    <row r="189" s="5" customFormat="1" ht="18" customHeight="1" x14ac:dyDescent="0.2"/>
    <row r="190" s="5" customFormat="1" ht="18" customHeight="1" x14ac:dyDescent="0.2"/>
    <row r="191" s="5" customFormat="1" ht="18" customHeight="1" x14ac:dyDescent="0.2"/>
    <row r="192" s="5" customFormat="1" ht="18" customHeight="1" x14ac:dyDescent="0.2"/>
    <row r="193" s="5" customFormat="1" ht="18" customHeight="1" x14ac:dyDescent="0.2"/>
    <row r="194" s="5" customFormat="1" ht="18" customHeight="1" x14ac:dyDescent="0.2"/>
    <row r="195" s="5" customFormat="1" ht="18" customHeight="1" x14ac:dyDescent="0.2"/>
    <row r="196" s="5" customFormat="1" ht="18" customHeight="1" x14ac:dyDescent="0.2"/>
    <row r="197" s="5" customFormat="1" ht="18" customHeight="1" x14ac:dyDescent="0.2"/>
    <row r="198" s="5" customFormat="1" ht="18" customHeight="1" x14ac:dyDescent="0.2"/>
    <row r="199" s="5" customFormat="1" ht="18" customHeight="1" x14ac:dyDescent="0.2"/>
    <row r="200" s="5" customFormat="1" ht="18" customHeight="1" x14ac:dyDescent="0.2"/>
  </sheetData>
  <dataValidations count="1">
    <dataValidation type="list" allowBlank="1" showInputMessage="1" showErrorMessage="1" sqref="G4:G200" xr:uid="{00000000-0002-0000-0000-000000000000}">
      <formula1>"TRUE,FALSE"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0"/>
  <sheetViews>
    <sheetView workbookViewId="0">
      <pane ySplit="3" topLeftCell="A4" activePane="bottomLeft" state="frozen"/>
      <selection pane="bottomLeft" activeCell="F4" sqref="F4"/>
    </sheetView>
  </sheetViews>
  <sheetFormatPr baseColWidth="10" defaultColWidth="8.83203125" defaultRowHeight="15" x14ac:dyDescent="0.2"/>
  <cols>
    <col min="1" max="2" width="14.6640625" customWidth="1"/>
    <col min="3" max="3" width="21.6640625" customWidth="1"/>
    <col min="4" max="4" width="24.6640625" customWidth="1"/>
    <col min="5" max="5" width="28.6640625" customWidth="1"/>
    <col min="6" max="6" width="17.6640625" customWidth="1"/>
    <col min="7" max="8" width="16.6640625" customWidth="1"/>
    <col min="9" max="9" width="17.6640625" customWidth="1"/>
  </cols>
  <sheetData>
    <row r="1" spans="1:9" ht="42" customHeight="1" x14ac:dyDescent="0.2">
      <c r="A1" s="1" t="s">
        <v>27</v>
      </c>
      <c r="B1" s="1" t="s">
        <v>28</v>
      </c>
      <c r="C1" s="1" t="s">
        <v>29</v>
      </c>
      <c r="D1" s="1" t="s">
        <v>30</v>
      </c>
      <c r="E1" s="1" t="s">
        <v>31</v>
      </c>
      <c r="F1" s="1" t="s">
        <v>32</v>
      </c>
      <c r="G1" s="1" t="s">
        <v>33</v>
      </c>
      <c r="H1" s="1" t="s">
        <v>34</v>
      </c>
      <c r="I1" s="1" t="s">
        <v>35</v>
      </c>
    </row>
    <row r="2" spans="1:9" ht="22" customHeight="1" x14ac:dyDescent="0.2">
      <c r="A2" s="3" t="s">
        <v>36</v>
      </c>
      <c r="B2" s="2" t="s">
        <v>37</v>
      </c>
      <c r="C2" s="3" t="s">
        <v>38</v>
      </c>
      <c r="D2" s="3" t="s">
        <v>39</v>
      </c>
      <c r="E2" s="3" t="s">
        <v>40</v>
      </c>
      <c r="F2" s="3" t="s">
        <v>41</v>
      </c>
      <c r="G2" s="3" t="s">
        <v>42</v>
      </c>
      <c r="H2" s="3" t="s">
        <v>43</v>
      </c>
      <c r="I2" s="3" t="s">
        <v>44</v>
      </c>
    </row>
    <row r="3" spans="1:9" ht="36" customHeight="1" x14ac:dyDescent="0.2">
      <c r="A3" s="4" t="s">
        <v>45</v>
      </c>
      <c r="B3" s="4" t="s">
        <v>46</v>
      </c>
      <c r="C3" s="4" t="s">
        <v>47</v>
      </c>
      <c r="D3" s="4" t="s">
        <v>48</v>
      </c>
      <c r="E3" s="4" t="s">
        <v>49</v>
      </c>
      <c r="F3" s="4" t="s">
        <v>50</v>
      </c>
      <c r="G3" s="4" t="s">
        <v>51</v>
      </c>
      <c r="H3" s="4" t="s">
        <v>52</v>
      </c>
      <c r="I3" s="4" t="s">
        <v>53</v>
      </c>
    </row>
    <row r="4" spans="1:9" s="5" customFormat="1" ht="18" customHeight="1" x14ac:dyDescent="0.15">
      <c r="A4" s="5" t="s">
        <v>54</v>
      </c>
      <c r="B4" s="5" t="s">
        <v>55</v>
      </c>
      <c r="C4" s="5" t="s">
        <v>278</v>
      </c>
      <c r="F4" s="7" t="s">
        <v>56</v>
      </c>
    </row>
    <row r="5" spans="1:9" s="5" customFormat="1" ht="18" customHeight="1" x14ac:dyDescent="0.2"/>
    <row r="6" spans="1:9" s="5" customFormat="1" ht="18" customHeight="1" x14ac:dyDescent="0.2"/>
    <row r="7" spans="1:9" s="5" customFormat="1" ht="18" customHeight="1" x14ac:dyDescent="0.2"/>
    <row r="8" spans="1:9" s="5" customFormat="1" ht="18" customHeight="1" x14ac:dyDescent="0.2"/>
    <row r="9" spans="1:9" s="5" customFormat="1" ht="18" customHeight="1" x14ac:dyDescent="0.2"/>
    <row r="10" spans="1:9" s="5" customFormat="1" ht="18" customHeight="1" x14ac:dyDescent="0.2"/>
    <row r="11" spans="1:9" s="5" customFormat="1" ht="18" customHeight="1" x14ac:dyDescent="0.2"/>
    <row r="12" spans="1:9" s="5" customFormat="1" ht="18" customHeight="1" x14ac:dyDescent="0.2"/>
    <row r="13" spans="1:9" s="5" customFormat="1" ht="18" customHeight="1" x14ac:dyDescent="0.2"/>
    <row r="14" spans="1:9" s="5" customFormat="1" ht="18" customHeight="1" x14ac:dyDescent="0.2"/>
    <row r="15" spans="1:9" s="5" customFormat="1" ht="18" customHeight="1" x14ac:dyDescent="0.2"/>
    <row r="16" spans="1:9" s="5" customFormat="1" ht="18" customHeight="1" x14ac:dyDescent="0.2"/>
    <row r="17" s="5" customFormat="1" ht="18" customHeight="1" x14ac:dyDescent="0.2"/>
    <row r="18" s="5" customFormat="1" ht="18" customHeight="1" x14ac:dyDescent="0.2"/>
    <row r="19" s="5" customFormat="1" ht="18" customHeight="1" x14ac:dyDescent="0.2"/>
    <row r="20" s="5" customFormat="1" ht="18" customHeight="1" x14ac:dyDescent="0.2"/>
    <row r="21" s="5" customFormat="1" ht="18" customHeight="1" x14ac:dyDescent="0.2"/>
    <row r="22" s="5" customFormat="1" ht="18" customHeight="1" x14ac:dyDescent="0.2"/>
    <row r="23" s="5" customFormat="1" ht="18" customHeight="1" x14ac:dyDescent="0.2"/>
    <row r="24" s="5" customFormat="1" ht="18" customHeight="1" x14ac:dyDescent="0.2"/>
    <row r="25" s="5" customFormat="1" ht="18" customHeight="1" x14ac:dyDescent="0.2"/>
    <row r="26" s="5" customFormat="1" ht="18" customHeight="1" x14ac:dyDescent="0.2"/>
    <row r="27" s="5" customFormat="1" ht="18" customHeight="1" x14ac:dyDescent="0.2"/>
    <row r="28" s="5" customFormat="1" ht="18" customHeight="1" x14ac:dyDescent="0.2"/>
    <row r="29" s="5" customFormat="1" ht="18" customHeight="1" x14ac:dyDescent="0.2"/>
    <row r="30" s="5" customFormat="1" ht="18" customHeight="1" x14ac:dyDescent="0.2"/>
    <row r="31" s="5" customFormat="1" ht="18" customHeight="1" x14ac:dyDescent="0.2"/>
    <row r="32" s="5" customFormat="1" ht="18" customHeight="1" x14ac:dyDescent="0.2"/>
    <row r="33" s="5" customFormat="1" ht="18" customHeight="1" x14ac:dyDescent="0.2"/>
    <row r="34" s="5" customFormat="1" ht="18" customHeight="1" x14ac:dyDescent="0.2"/>
    <row r="35" s="5" customFormat="1" ht="18" customHeight="1" x14ac:dyDescent="0.2"/>
    <row r="36" s="5" customFormat="1" ht="18" customHeight="1" x14ac:dyDescent="0.2"/>
    <row r="37" s="5" customFormat="1" ht="18" customHeight="1" x14ac:dyDescent="0.2"/>
    <row r="38" s="5" customFormat="1" ht="18" customHeight="1" x14ac:dyDescent="0.2"/>
    <row r="39" s="5" customFormat="1" ht="18" customHeight="1" x14ac:dyDescent="0.2"/>
    <row r="40" s="5" customFormat="1" ht="18" customHeight="1" x14ac:dyDescent="0.2"/>
    <row r="41" s="5" customFormat="1" ht="18" customHeight="1" x14ac:dyDescent="0.2"/>
    <row r="42" s="5" customFormat="1" ht="18" customHeight="1" x14ac:dyDescent="0.2"/>
    <row r="43" s="5" customFormat="1" ht="18" customHeight="1" x14ac:dyDescent="0.2"/>
    <row r="44" s="5" customFormat="1" ht="18" customHeight="1" x14ac:dyDescent="0.2"/>
    <row r="45" s="5" customFormat="1" ht="18" customHeight="1" x14ac:dyDescent="0.2"/>
    <row r="46" s="5" customFormat="1" ht="18" customHeight="1" x14ac:dyDescent="0.2"/>
    <row r="47" s="5" customFormat="1" ht="18" customHeight="1" x14ac:dyDescent="0.2"/>
    <row r="48" s="5" customFormat="1" ht="18" customHeight="1" x14ac:dyDescent="0.2"/>
    <row r="49" s="5" customFormat="1" ht="18" customHeight="1" x14ac:dyDescent="0.2"/>
    <row r="50" s="5" customFormat="1" ht="18" customHeight="1" x14ac:dyDescent="0.2"/>
    <row r="51" s="5" customFormat="1" ht="18" customHeight="1" x14ac:dyDescent="0.2"/>
    <row r="52" s="5" customFormat="1" ht="18" customHeight="1" x14ac:dyDescent="0.2"/>
    <row r="53" s="5" customFormat="1" ht="18" customHeight="1" x14ac:dyDescent="0.2"/>
    <row r="54" s="5" customFormat="1" ht="18" customHeight="1" x14ac:dyDescent="0.2"/>
    <row r="55" s="5" customFormat="1" ht="18" customHeight="1" x14ac:dyDescent="0.2"/>
    <row r="56" s="5" customFormat="1" ht="18" customHeight="1" x14ac:dyDescent="0.2"/>
    <row r="57" s="5" customFormat="1" ht="18" customHeight="1" x14ac:dyDescent="0.2"/>
    <row r="58" s="5" customFormat="1" ht="18" customHeight="1" x14ac:dyDescent="0.2"/>
    <row r="59" s="5" customFormat="1" ht="18" customHeight="1" x14ac:dyDescent="0.2"/>
    <row r="60" s="5" customFormat="1" ht="18" customHeight="1" x14ac:dyDescent="0.2"/>
    <row r="61" s="5" customFormat="1" ht="18" customHeight="1" x14ac:dyDescent="0.2"/>
    <row r="62" s="5" customFormat="1" ht="18" customHeight="1" x14ac:dyDescent="0.2"/>
    <row r="63" s="5" customFormat="1" ht="18" customHeight="1" x14ac:dyDescent="0.2"/>
    <row r="64" s="5" customFormat="1" ht="18" customHeight="1" x14ac:dyDescent="0.2"/>
    <row r="65" s="5" customFormat="1" ht="18" customHeight="1" x14ac:dyDescent="0.2"/>
    <row r="66" s="5" customFormat="1" ht="18" customHeight="1" x14ac:dyDescent="0.2"/>
    <row r="67" s="5" customFormat="1" ht="18" customHeight="1" x14ac:dyDescent="0.2"/>
    <row r="68" s="5" customFormat="1" ht="18" customHeight="1" x14ac:dyDescent="0.2"/>
    <row r="69" s="5" customFormat="1" ht="18" customHeight="1" x14ac:dyDescent="0.2"/>
    <row r="70" s="5" customFormat="1" ht="18" customHeight="1" x14ac:dyDescent="0.2"/>
    <row r="71" s="5" customFormat="1" ht="18" customHeight="1" x14ac:dyDescent="0.2"/>
    <row r="72" s="5" customFormat="1" ht="18" customHeight="1" x14ac:dyDescent="0.2"/>
    <row r="73" s="5" customFormat="1" ht="18" customHeight="1" x14ac:dyDescent="0.2"/>
    <row r="74" s="5" customFormat="1" ht="18" customHeight="1" x14ac:dyDescent="0.2"/>
    <row r="75" s="5" customFormat="1" ht="18" customHeight="1" x14ac:dyDescent="0.2"/>
    <row r="76" s="5" customFormat="1" ht="18" customHeight="1" x14ac:dyDescent="0.2"/>
    <row r="77" s="5" customFormat="1" ht="18" customHeight="1" x14ac:dyDescent="0.2"/>
    <row r="78" s="5" customFormat="1" ht="18" customHeight="1" x14ac:dyDescent="0.2"/>
    <row r="79" s="5" customFormat="1" ht="18" customHeight="1" x14ac:dyDescent="0.2"/>
    <row r="80" s="5" customFormat="1" ht="18" customHeight="1" x14ac:dyDescent="0.2"/>
    <row r="81" s="5" customFormat="1" ht="18" customHeight="1" x14ac:dyDescent="0.2"/>
    <row r="82" s="5" customFormat="1" ht="18" customHeight="1" x14ac:dyDescent="0.2"/>
    <row r="83" s="5" customFormat="1" ht="18" customHeight="1" x14ac:dyDescent="0.2"/>
    <row r="84" s="5" customFormat="1" ht="18" customHeight="1" x14ac:dyDescent="0.2"/>
    <row r="85" s="5" customFormat="1" ht="18" customHeight="1" x14ac:dyDescent="0.2"/>
    <row r="86" s="5" customFormat="1" ht="18" customHeight="1" x14ac:dyDescent="0.2"/>
    <row r="87" s="5" customFormat="1" ht="18" customHeight="1" x14ac:dyDescent="0.2"/>
    <row r="88" s="5" customFormat="1" ht="18" customHeight="1" x14ac:dyDescent="0.2"/>
    <row r="89" s="5" customFormat="1" ht="18" customHeight="1" x14ac:dyDescent="0.2"/>
    <row r="90" s="5" customFormat="1" ht="18" customHeight="1" x14ac:dyDescent="0.2"/>
    <row r="91" s="5" customFormat="1" ht="18" customHeight="1" x14ac:dyDescent="0.2"/>
    <row r="92" s="5" customFormat="1" ht="18" customHeight="1" x14ac:dyDescent="0.2"/>
    <row r="93" s="5" customFormat="1" ht="18" customHeight="1" x14ac:dyDescent="0.2"/>
    <row r="94" s="5" customFormat="1" ht="18" customHeight="1" x14ac:dyDescent="0.2"/>
    <row r="95" s="5" customFormat="1" ht="18" customHeight="1" x14ac:dyDescent="0.2"/>
    <row r="96" s="5" customFormat="1" ht="18" customHeight="1" x14ac:dyDescent="0.2"/>
    <row r="97" s="5" customFormat="1" ht="18" customHeight="1" x14ac:dyDescent="0.2"/>
    <row r="98" s="5" customFormat="1" ht="18" customHeight="1" x14ac:dyDescent="0.2"/>
    <row r="99" s="5" customFormat="1" ht="18" customHeight="1" x14ac:dyDescent="0.2"/>
    <row r="100" s="5" customFormat="1" ht="18" customHeight="1" x14ac:dyDescent="0.2"/>
    <row r="101" s="5" customFormat="1" ht="18" customHeight="1" x14ac:dyDescent="0.2"/>
    <row r="102" s="5" customFormat="1" ht="18" customHeight="1" x14ac:dyDescent="0.2"/>
    <row r="103" s="5" customFormat="1" ht="18" customHeight="1" x14ac:dyDescent="0.2"/>
    <row r="104" s="5" customFormat="1" ht="18" customHeight="1" x14ac:dyDescent="0.2"/>
    <row r="105" s="5" customFormat="1" ht="18" customHeight="1" x14ac:dyDescent="0.2"/>
    <row r="106" s="5" customFormat="1" ht="18" customHeight="1" x14ac:dyDescent="0.2"/>
    <row r="107" s="5" customFormat="1" ht="18" customHeight="1" x14ac:dyDescent="0.2"/>
    <row r="108" s="5" customFormat="1" ht="18" customHeight="1" x14ac:dyDescent="0.2"/>
    <row r="109" s="5" customFormat="1" ht="18" customHeight="1" x14ac:dyDescent="0.2"/>
    <row r="110" s="5" customFormat="1" ht="18" customHeight="1" x14ac:dyDescent="0.2"/>
    <row r="111" s="5" customFormat="1" ht="18" customHeight="1" x14ac:dyDescent="0.2"/>
    <row r="112" s="5" customFormat="1" ht="18" customHeight="1" x14ac:dyDescent="0.2"/>
    <row r="113" s="5" customFormat="1" ht="18" customHeight="1" x14ac:dyDescent="0.2"/>
    <row r="114" s="5" customFormat="1" ht="18" customHeight="1" x14ac:dyDescent="0.2"/>
    <row r="115" s="5" customFormat="1" ht="18" customHeight="1" x14ac:dyDescent="0.2"/>
    <row r="116" s="5" customFormat="1" ht="18" customHeight="1" x14ac:dyDescent="0.2"/>
    <row r="117" s="5" customFormat="1" ht="18" customHeight="1" x14ac:dyDescent="0.2"/>
    <row r="118" s="5" customFormat="1" ht="18" customHeight="1" x14ac:dyDescent="0.2"/>
    <row r="119" s="5" customFormat="1" ht="18" customHeight="1" x14ac:dyDescent="0.2"/>
    <row r="120" s="5" customFormat="1" ht="18" customHeight="1" x14ac:dyDescent="0.2"/>
    <row r="121" s="5" customFormat="1" ht="18" customHeight="1" x14ac:dyDescent="0.2"/>
    <row r="122" s="5" customFormat="1" ht="18" customHeight="1" x14ac:dyDescent="0.2"/>
    <row r="123" s="5" customFormat="1" ht="18" customHeight="1" x14ac:dyDescent="0.2"/>
    <row r="124" s="5" customFormat="1" ht="18" customHeight="1" x14ac:dyDescent="0.2"/>
    <row r="125" s="5" customFormat="1" ht="18" customHeight="1" x14ac:dyDescent="0.2"/>
    <row r="126" s="5" customFormat="1" ht="18" customHeight="1" x14ac:dyDescent="0.2"/>
    <row r="127" s="5" customFormat="1" ht="18" customHeight="1" x14ac:dyDescent="0.2"/>
    <row r="128" s="5" customFormat="1" ht="18" customHeight="1" x14ac:dyDescent="0.2"/>
    <row r="129" s="5" customFormat="1" ht="18" customHeight="1" x14ac:dyDescent="0.2"/>
    <row r="130" s="5" customFormat="1" ht="18" customHeight="1" x14ac:dyDescent="0.2"/>
    <row r="131" s="5" customFormat="1" ht="18" customHeight="1" x14ac:dyDescent="0.2"/>
    <row r="132" s="5" customFormat="1" ht="18" customHeight="1" x14ac:dyDescent="0.2"/>
    <row r="133" s="5" customFormat="1" ht="18" customHeight="1" x14ac:dyDescent="0.2"/>
    <row r="134" s="5" customFormat="1" ht="18" customHeight="1" x14ac:dyDescent="0.2"/>
    <row r="135" s="5" customFormat="1" ht="18" customHeight="1" x14ac:dyDescent="0.2"/>
    <row r="136" s="5" customFormat="1" ht="18" customHeight="1" x14ac:dyDescent="0.2"/>
    <row r="137" s="5" customFormat="1" ht="18" customHeight="1" x14ac:dyDescent="0.2"/>
    <row r="138" s="5" customFormat="1" ht="18" customHeight="1" x14ac:dyDescent="0.2"/>
    <row r="139" s="5" customFormat="1" ht="18" customHeight="1" x14ac:dyDescent="0.2"/>
    <row r="140" s="5" customFormat="1" ht="18" customHeight="1" x14ac:dyDescent="0.2"/>
    <row r="141" s="5" customFormat="1" ht="18" customHeight="1" x14ac:dyDescent="0.2"/>
    <row r="142" s="5" customFormat="1" ht="18" customHeight="1" x14ac:dyDescent="0.2"/>
    <row r="143" s="5" customFormat="1" ht="18" customHeight="1" x14ac:dyDescent="0.2"/>
    <row r="144" s="5" customFormat="1" ht="18" customHeight="1" x14ac:dyDescent="0.2"/>
    <row r="145" s="5" customFormat="1" ht="18" customHeight="1" x14ac:dyDescent="0.2"/>
    <row r="146" s="5" customFormat="1" ht="18" customHeight="1" x14ac:dyDescent="0.2"/>
    <row r="147" s="5" customFormat="1" ht="18" customHeight="1" x14ac:dyDescent="0.2"/>
    <row r="148" s="5" customFormat="1" ht="18" customHeight="1" x14ac:dyDescent="0.2"/>
    <row r="149" s="5" customFormat="1" ht="18" customHeight="1" x14ac:dyDescent="0.2"/>
    <row r="150" s="5" customFormat="1" ht="18" customHeight="1" x14ac:dyDescent="0.2"/>
    <row r="151" s="5" customFormat="1" ht="18" customHeight="1" x14ac:dyDescent="0.2"/>
    <row r="152" s="5" customFormat="1" ht="18" customHeight="1" x14ac:dyDescent="0.2"/>
    <row r="153" s="5" customFormat="1" ht="18" customHeight="1" x14ac:dyDescent="0.2"/>
    <row r="154" s="5" customFormat="1" ht="18" customHeight="1" x14ac:dyDescent="0.2"/>
    <row r="155" s="5" customFormat="1" ht="18" customHeight="1" x14ac:dyDescent="0.2"/>
    <row r="156" s="5" customFormat="1" ht="18" customHeight="1" x14ac:dyDescent="0.2"/>
    <row r="157" s="5" customFormat="1" ht="18" customHeight="1" x14ac:dyDescent="0.2"/>
    <row r="158" s="5" customFormat="1" ht="18" customHeight="1" x14ac:dyDescent="0.2"/>
    <row r="159" s="5" customFormat="1" ht="18" customHeight="1" x14ac:dyDescent="0.2"/>
    <row r="160" s="5" customFormat="1" ht="18" customHeight="1" x14ac:dyDescent="0.2"/>
    <row r="161" s="5" customFormat="1" ht="18" customHeight="1" x14ac:dyDescent="0.2"/>
    <row r="162" s="5" customFormat="1" ht="18" customHeight="1" x14ac:dyDescent="0.2"/>
    <row r="163" s="5" customFormat="1" ht="18" customHeight="1" x14ac:dyDescent="0.2"/>
    <row r="164" s="5" customFormat="1" ht="18" customHeight="1" x14ac:dyDescent="0.2"/>
    <row r="165" s="5" customFormat="1" ht="18" customHeight="1" x14ac:dyDescent="0.2"/>
    <row r="166" s="5" customFormat="1" ht="18" customHeight="1" x14ac:dyDescent="0.2"/>
    <row r="167" s="5" customFormat="1" ht="18" customHeight="1" x14ac:dyDescent="0.2"/>
    <row r="168" s="5" customFormat="1" ht="18" customHeight="1" x14ac:dyDescent="0.2"/>
    <row r="169" s="5" customFormat="1" ht="18" customHeight="1" x14ac:dyDescent="0.2"/>
    <row r="170" s="5" customFormat="1" ht="18" customHeight="1" x14ac:dyDescent="0.2"/>
    <row r="171" s="5" customFormat="1" ht="18" customHeight="1" x14ac:dyDescent="0.2"/>
    <row r="172" s="5" customFormat="1" ht="18" customHeight="1" x14ac:dyDescent="0.2"/>
    <row r="173" s="5" customFormat="1" ht="18" customHeight="1" x14ac:dyDescent="0.2"/>
    <row r="174" s="5" customFormat="1" ht="18" customHeight="1" x14ac:dyDescent="0.2"/>
    <row r="175" s="5" customFormat="1" ht="18" customHeight="1" x14ac:dyDescent="0.2"/>
    <row r="176" s="5" customFormat="1" ht="18" customHeight="1" x14ac:dyDescent="0.2"/>
    <row r="177" s="5" customFormat="1" ht="18" customHeight="1" x14ac:dyDescent="0.2"/>
    <row r="178" s="5" customFormat="1" ht="18" customHeight="1" x14ac:dyDescent="0.2"/>
    <row r="179" s="5" customFormat="1" ht="18" customHeight="1" x14ac:dyDescent="0.2"/>
    <row r="180" s="5" customFormat="1" ht="18" customHeight="1" x14ac:dyDescent="0.2"/>
    <row r="181" s="5" customFormat="1" ht="18" customHeight="1" x14ac:dyDescent="0.2"/>
    <row r="182" s="5" customFormat="1" ht="18" customHeight="1" x14ac:dyDescent="0.2"/>
    <row r="183" s="5" customFormat="1" ht="18" customHeight="1" x14ac:dyDescent="0.2"/>
    <row r="184" s="5" customFormat="1" ht="18" customHeight="1" x14ac:dyDescent="0.2"/>
    <row r="185" s="5" customFormat="1" ht="18" customHeight="1" x14ac:dyDescent="0.2"/>
    <row r="186" s="5" customFormat="1" ht="18" customHeight="1" x14ac:dyDescent="0.2"/>
    <row r="187" s="5" customFormat="1" ht="18" customHeight="1" x14ac:dyDescent="0.2"/>
    <row r="188" s="5" customFormat="1" ht="18" customHeight="1" x14ac:dyDescent="0.2"/>
    <row r="189" s="5" customFormat="1" ht="18" customHeight="1" x14ac:dyDescent="0.2"/>
    <row r="190" s="5" customFormat="1" ht="18" customHeight="1" x14ac:dyDescent="0.2"/>
    <row r="191" s="5" customFormat="1" ht="18" customHeight="1" x14ac:dyDescent="0.2"/>
    <row r="192" s="5" customFormat="1" ht="18" customHeight="1" x14ac:dyDescent="0.2"/>
    <row r="193" s="5" customFormat="1" ht="18" customHeight="1" x14ac:dyDescent="0.2"/>
    <row r="194" s="5" customFormat="1" ht="18" customHeight="1" x14ac:dyDescent="0.2"/>
    <row r="195" s="5" customFormat="1" ht="18" customHeight="1" x14ac:dyDescent="0.2"/>
    <row r="196" s="5" customFormat="1" ht="18" customHeight="1" x14ac:dyDescent="0.2"/>
    <row r="197" s="5" customFormat="1" ht="18" customHeight="1" x14ac:dyDescent="0.2"/>
    <row r="198" s="5" customFormat="1" ht="18" customHeight="1" x14ac:dyDescent="0.2"/>
    <row r="199" s="5" customFormat="1" ht="18" customHeight="1" x14ac:dyDescent="0.2"/>
    <row r="200" s="5" customFormat="1" ht="18" customHeight="1" x14ac:dyDescent="0.2"/>
  </sheetData>
  <dataValidations count="1">
    <dataValidation type="list" allowBlank="1" showInputMessage="1" showErrorMessage="1" sqref="B4:B200" xr:uid="{00000000-0002-0000-0100-000000000000}">
      <formula1>"GRCh37,GRCh38"</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08"/>
  <sheetViews>
    <sheetView workbookViewId="0">
      <pane ySplit="3" topLeftCell="A26" activePane="bottomLeft" state="frozen"/>
      <selection pane="bottomLeft" activeCell="D27" sqref="D27"/>
    </sheetView>
  </sheetViews>
  <sheetFormatPr baseColWidth="10" defaultColWidth="8.83203125" defaultRowHeight="15" x14ac:dyDescent="0.2"/>
  <cols>
    <col min="1" max="1" width="49.83203125" customWidth="1"/>
    <col min="2" max="2" width="20.6640625" customWidth="1"/>
    <col min="3" max="3" width="21.6640625" customWidth="1"/>
    <col min="4" max="4" width="19.6640625" customWidth="1"/>
    <col min="5" max="5" width="32.6640625" customWidth="1"/>
    <col min="6" max="6" width="25.6640625" customWidth="1"/>
    <col min="7" max="7" width="21.6640625" customWidth="1"/>
    <col min="8" max="8" width="16.6640625" customWidth="1"/>
    <col min="9" max="9" width="14.6640625" customWidth="1"/>
    <col min="10" max="10" width="17.6640625" customWidth="1"/>
  </cols>
  <sheetData>
    <row r="1" spans="1:10" ht="42" customHeight="1" x14ac:dyDescent="0.2">
      <c r="A1" s="1" t="s">
        <v>57</v>
      </c>
      <c r="B1" s="1" t="s">
        <v>58</v>
      </c>
      <c r="C1" s="1" t="s">
        <v>59</v>
      </c>
      <c r="D1" s="1" t="s">
        <v>60</v>
      </c>
      <c r="E1" s="1" t="s">
        <v>61</v>
      </c>
      <c r="F1" s="1" t="s">
        <v>62</v>
      </c>
      <c r="G1" s="1" t="s">
        <v>63</v>
      </c>
      <c r="H1" s="1" t="s">
        <v>64</v>
      </c>
      <c r="I1" s="1" t="s">
        <v>65</v>
      </c>
      <c r="J1" s="1" t="s">
        <v>66</v>
      </c>
    </row>
    <row r="2" spans="1:10" ht="22" customHeight="1" x14ac:dyDescent="0.2">
      <c r="A2" s="2" t="s">
        <v>67</v>
      </c>
      <c r="B2" s="2" t="s">
        <v>68</v>
      </c>
      <c r="C2" s="2" t="s">
        <v>69</v>
      </c>
      <c r="D2" s="2" t="s">
        <v>70</v>
      </c>
      <c r="E2" s="2" t="s">
        <v>71</v>
      </c>
      <c r="F2" s="2" t="s">
        <v>72</v>
      </c>
      <c r="G2" s="2" t="s">
        <v>73</v>
      </c>
      <c r="H2" s="2" t="s">
        <v>74</v>
      </c>
      <c r="I2" s="3" t="s">
        <v>75</v>
      </c>
      <c r="J2" s="3" t="s">
        <v>76</v>
      </c>
    </row>
    <row r="3" spans="1:10" ht="36" customHeight="1" thickBot="1" x14ac:dyDescent="0.25">
      <c r="A3" s="4" t="s">
        <v>77</v>
      </c>
      <c r="B3" s="4" t="s">
        <v>78</v>
      </c>
      <c r="C3" s="4" t="s">
        <v>79</v>
      </c>
      <c r="D3" s="4" t="s">
        <v>80</v>
      </c>
      <c r="E3" s="4" t="s">
        <v>81</v>
      </c>
      <c r="F3" s="4" t="s">
        <v>82</v>
      </c>
      <c r="G3" s="4" t="s">
        <v>83</v>
      </c>
      <c r="H3" s="4" t="s">
        <v>84</v>
      </c>
      <c r="I3" s="4" t="s">
        <v>85</v>
      </c>
      <c r="J3" s="4"/>
    </row>
    <row r="4" spans="1:10" s="5" customFormat="1" ht="18" customHeight="1" x14ac:dyDescent="0.15">
      <c r="A4" s="9" t="s">
        <v>279</v>
      </c>
      <c r="B4" s="8" t="s">
        <v>88</v>
      </c>
      <c r="C4" s="8"/>
      <c r="D4" s="8" t="s">
        <v>87</v>
      </c>
      <c r="E4" s="5" t="str">
        <f>IF($D4="","",IFERROR(INDEX(validation!$A$2:$A$24,MATCH($D4,validation!$B$2:$B$24,0)),""))</f>
        <v>GWAS</v>
      </c>
      <c r="F4" s="8" t="s">
        <v>82</v>
      </c>
      <c r="G4" s="8"/>
      <c r="H4" s="8"/>
      <c r="I4" s="9"/>
      <c r="J4" s="9"/>
    </row>
    <row r="5" spans="1:10" s="5" customFormat="1" ht="18" customHeight="1" x14ac:dyDescent="0.15">
      <c r="A5" s="7" t="s">
        <v>280</v>
      </c>
      <c r="B5" s="11" t="s">
        <v>86</v>
      </c>
      <c r="C5" s="11"/>
      <c r="D5" s="11" t="s">
        <v>87</v>
      </c>
      <c r="E5" s="12" t="str">
        <f>IF($D5="","",IFERROR(INDEX(validation!$A$2:$A$24,MATCH($D5,validation!$B$2:$B$24,0)),""))</f>
        <v>GWAS</v>
      </c>
      <c r="F5" s="11" t="s">
        <v>82</v>
      </c>
      <c r="G5" s="11"/>
      <c r="H5" s="11"/>
      <c r="I5" s="7"/>
      <c r="J5" s="7"/>
    </row>
    <row r="6" spans="1:10" s="5" customFormat="1" ht="18" customHeight="1" x14ac:dyDescent="0.15">
      <c r="A6" s="12" t="s">
        <v>91</v>
      </c>
      <c r="B6" s="11" t="s">
        <v>92</v>
      </c>
      <c r="C6" s="11"/>
      <c r="D6" s="11" t="s">
        <v>93</v>
      </c>
      <c r="E6" s="12" t="str">
        <f>IF($D6="","",IFERROR(INDEX(validation!$A$2:$A$24,MATCH($D6,validation!$B$2:$B$24,0)),""))</f>
        <v>PROX</v>
      </c>
      <c r="F6" s="11" t="s">
        <v>82</v>
      </c>
      <c r="G6" s="11"/>
      <c r="H6" s="11"/>
      <c r="I6" s="7"/>
      <c r="J6" s="11" t="s">
        <v>94</v>
      </c>
    </row>
    <row r="7" spans="1:10" s="5" customFormat="1" ht="18" customHeight="1" x14ac:dyDescent="0.15">
      <c r="A7" s="12" t="s">
        <v>95</v>
      </c>
      <c r="B7" s="11" t="s">
        <v>96</v>
      </c>
      <c r="C7" s="11"/>
      <c r="D7" s="11" t="s">
        <v>97</v>
      </c>
      <c r="E7" s="12" t="str">
        <f>IF($D7="","",IFERROR(INDEX(validation!$A$2:$A$24,MATCH($D7,validation!$B$2:$B$24,0)),""))</f>
        <v>FUNC</v>
      </c>
      <c r="F7" s="11" t="s">
        <v>82</v>
      </c>
      <c r="G7" s="11"/>
      <c r="H7" s="11" t="s">
        <v>257</v>
      </c>
      <c r="I7" s="11" t="s">
        <v>98</v>
      </c>
      <c r="J7" s="7"/>
    </row>
    <row r="8" spans="1:10" s="5" customFormat="1" ht="18" customHeight="1" x14ac:dyDescent="0.15">
      <c r="A8" s="7" t="s">
        <v>281</v>
      </c>
      <c r="B8" s="11" t="s">
        <v>322</v>
      </c>
      <c r="C8" s="11" t="s">
        <v>79</v>
      </c>
      <c r="D8" s="11" t="s">
        <v>80</v>
      </c>
      <c r="E8" s="13" t="s">
        <v>81</v>
      </c>
      <c r="F8" s="11" t="s">
        <v>82</v>
      </c>
      <c r="G8" s="11"/>
      <c r="H8" s="11"/>
      <c r="I8" s="11"/>
      <c r="J8" s="7"/>
    </row>
    <row r="9" spans="1:10" s="5" customFormat="1" ht="18" customHeight="1" x14ac:dyDescent="0.2">
      <c r="A9" s="7" t="s">
        <v>282</v>
      </c>
      <c r="B9" s="14" t="s">
        <v>304</v>
      </c>
      <c r="C9" s="11" t="s">
        <v>79</v>
      </c>
      <c r="D9" s="11" t="s">
        <v>80</v>
      </c>
      <c r="E9" s="12" t="str">
        <f>IF($D9="","",IFERROR(INDEX(validation!$A$2:$A$24,MATCH($D9,validation!$B$2:$B$24,0)),""))</f>
        <v>QTL</v>
      </c>
      <c r="F9" s="11" t="s">
        <v>82</v>
      </c>
      <c r="G9" s="11" t="s">
        <v>320</v>
      </c>
      <c r="H9" s="11" t="s">
        <v>99</v>
      </c>
      <c r="I9" s="11" t="s">
        <v>100</v>
      </c>
      <c r="J9" s="11" t="s">
        <v>101</v>
      </c>
    </row>
    <row r="10" spans="1:10" s="5" customFormat="1" ht="18" customHeight="1" x14ac:dyDescent="0.2">
      <c r="A10" s="7" t="s">
        <v>283</v>
      </c>
      <c r="B10" s="14" t="s">
        <v>305</v>
      </c>
      <c r="C10" s="11" t="s">
        <v>79</v>
      </c>
      <c r="D10" s="11" t="s">
        <v>80</v>
      </c>
      <c r="E10" s="12" t="str">
        <f>IF($D10="","",IFERROR(INDEX(validation!$A$2:$A$24,MATCH($D10,validation!$B$2:$B$24,0)),""))</f>
        <v>QTL</v>
      </c>
      <c r="F10" s="11" t="s">
        <v>82</v>
      </c>
      <c r="G10" s="11" t="s">
        <v>320</v>
      </c>
      <c r="H10" s="11" t="s">
        <v>99</v>
      </c>
      <c r="I10" s="11" t="s">
        <v>100</v>
      </c>
      <c r="J10" s="7"/>
    </row>
    <row r="11" spans="1:10" s="5" customFormat="1" ht="18" customHeight="1" x14ac:dyDescent="0.2">
      <c r="A11" s="7" t="s">
        <v>284</v>
      </c>
      <c r="B11" s="14" t="s">
        <v>306</v>
      </c>
      <c r="C11" s="11" t="s">
        <v>79</v>
      </c>
      <c r="D11" s="11" t="s">
        <v>80</v>
      </c>
      <c r="E11" s="12" t="str">
        <f>IF($D11="","",IFERROR(INDEX(validation!$A$2:$A$24,MATCH($D11,validation!$B$2:$B$24,0)),""))</f>
        <v>QTL</v>
      </c>
      <c r="F11" s="11" t="s">
        <v>82</v>
      </c>
      <c r="G11" s="11" t="s">
        <v>320</v>
      </c>
      <c r="H11" s="11" t="s">
        <v>99</v>
      </c>
      <c r="I11" s="11" t="s">
        <v>100</v>
      </c>
      <c r="J11" s="7"/>
    </row>
    <row r="12" spans="1:10" s="5" customFormat="1" ht="18" customHeight="1" x14ac:dyDescent="0.2">
      <c r="A12" s="7" t="s">
        <v>285</v>
      </c>
      <c r="B12" s="14" t="s">
        <v>307</v>
      </c>
      <c r="C12" s="11" t="s">
        <v>79</v>
      </c>
      <c r="D12" s="11" t="s">
        <v>80</v>
      </c>
      <c r="E12" s="12" t="str">
        <f>IF($D12="","",IFERROR(INDEX(validation!$A$2:$A$24,MATCH($D12,validation!$B$2:$B$24,0)),""))</f>
        <v>QTL</v>
      </c>
      <c r="F12" s="11" t="s">
        <v>82</v>
      </c>
      <c r="G12" s="11" t="s">
        <v>320</v>
      </c>
      <c r="H12" s="11" t="s">
        <v>99</v>
      </c>
      <c r="I12" s="11" t="s">
        <v>100</v>
      </c>
      <c r="J12" s="7"/>
    </row>
    <row r="13" spans="1:10" ht="80" x14ac:dyDescent="0.2">
      <c r="A13" s="7" t="s">
        <v>286</v>
      </c>
      <c r="B13" s="14" t="s">
        <v>308</v>
      </c>
      <c r="C13" s="11" t="s">
        <v>79</v>
      </c>
      <c r="D13" s="11" t="s">
        <v>80</v>
      </c>
      <c r="E13" s="12" t="str">
        <f>IF($D13="","",IFERROR(INDEX(validation!$A$2:$A$24,MATCH($D13,validation!$B$2:$B$24,0)),""))</f>
        <v>QTL</v>
      </c>
      <c r="F13" s="11" t="s">
        <v>82</v>
      </c>
      <c r="G13" s="11" t="s">
        <v>320</v>
      </c>
      <c r="H13" s="11" t="s">
        <v>99</v>
      </c>
      <c r="I13" s="11" t="s">
        <v>100</v>
      </c>
      <c r="J13" s="14"/>
    </row>
    <row r="14" spans="1:10" ht="80" x14ac:dyDescent="0.2">
      <c r="A14" s="7" t="s">
        <v>287</v>
      </c>
      <c r="B14" s="14" t="s">
        <v>309</v>
      </c>
      <c r="C14" s="11" t="s">
        <v>79</v>
      </c>
      <c r="D14" s="11" t="s">
        <v>80</v>
      </c>
      <c r="E14" s="12" t="str">
        <f>IF($D14="","",IFERROR(INDEX(validation!$A$2:$A$24,MATCH($D14,validation!$B$2:$B$24,0)),""))</f>
        <v>QTL</v>
      </c>
      <c r="F14" s="11" t="s">
        <v>82</v>
      </c>
      <c r="G14" s="11" t="s">
        <v>320</v>
      </c>
      <c r="H14" s="11" t="s">
        <v>99</v>
      </c>
      <c r="I14" s="11" t="s">
        <v>100</v>
      </c>
      <c r="J14" s="14"/>
    </row>
    <row r="15" spans="1:10" ht="80" x14ac:dyDescent="0.2">
      <c r="A15" s="7" t="s">
        <v>288</v>
      </c>
      <c r="B15" s="14" t="s">
        <v>310</v>
      </c>
      <c r="C15" s="11" t="s">
        <v>79</v>
      </c>
      <c r="D15" s="11" t="s">
        <v>80</v>
      </c>
      <c r="E15" s="12" t="str">
        <f>IF($D15="","",IFERROR(INDEX(validation!$A$2:$A$24,MATCH($D15,validation!$B$2:$B$24,0)),""))</f>
        <v>QTL</v>
      </c>
      <c r="F15" s="11" t="s">
        <v>82</v>
      </c>
      <c r="G15" s="11" t="s">
        <v>320</v>
      </c>
      <c r="H15" s="11" t="s">
        <v>99</v>
      </c>
      <c r="I15" s="11" t="s">
        <v>100</v>
      </c>
      <c r="J15" s="14"/>
    </row>
    <row r="16" spans="1:10" ht="80" x14ac:dyDescent="0.2">
      <c r="A16" s="7" t="s">
        <v>289</v>
      </c>
      <c r="B16" s="14" t="s">
        <v>311</v>
      </c>
      <c r="C16" s="11" t="s">
        <v>79</v>
      </c>
      <c r="D16" s="11" t="s">
        <v>80</v>
      </c>
      <c r="E16" s="12" t="str">
        <f>IF($D16="","",IFERROR(INDEX(validation!$A$2:$A$24,MATCH($D16,validation!$B$2:$B$24,0)),""))</f>
        <v>QTL</v>
      </c>
      <c r="F16" s="11" t="s">
        <v>82</v>
      </c>
      <c r="G16" s="11" t="s">
        <v>320</v>
      </c>
      <c r="H16" s="11" t="s">
        <v>99</v>
      </c>
      <c r="I16" s="11" t="s">
        <v>100</v>
      </c>
      <c r="J16" s="14"/>
    </row>
    <row r="17" spans="1:10" ht="80" x14ac:dyDescent="0.2">
      <c r="A17" s="7" t="s">
        <v>290</v>
      </c>
      <c r="B17" s="14" t="s">
        <v>312</v>
      </c>
      <c r="C17" s="11" t="s">
        <v>79</v>
      </c>
      <c r="D17" s="11" t="s">
        <v>80</v>
      </c>
      <c r="E17" s="12" t="str">
        <f>IF($D17="","",IFERROR(INDEX(validation!$A$2:$A$24,MATCH($D17,validation!$B$2:$B$24,0)),""))</f>
        <v>QTL</v>
      </c>
      <c r="F17" s="11" t="s">
        <v>82</v>
      </c>
      <c r="G17" s="11" t="s">
        <v>320</v>
      </c>
      <c r="H17" s="11" t="s">
        <v>99</v>
      </c>
      <c r="I17" s="11" t="s">
        <v>100</v>
      </c>
      <c r="J17" s="14"/>
    </row>
    <row r="18" spans="1:10" ht="96" x14ac:dyDescent="0.2">
      <c r="A18" s="7" t="s">
        <v>291</v>
      </c>
      <c r="B18" s="14" t="s">
        <v>313</v>
      </c>
      <c r="C18" s="11" t="s">
        <v>79</v>
      </c>
      <c r="D18" s="11" t="s">
        <v>80</v>
      </c>
      <c r="E18" s="12" t="str">
        <f>IF($D18="","",IFERROR(INDEX(validation!$A$2:$A$24,MATCH($D18,validation!$B$2:$B$24,0)),""))</f>
        <v>QTL</v>
      </c>
      <c r="F18" s="11" t="s">
        <v>82</v>
      </c>
      <c r="G18" s="11" t="s">
        <v>321</v>
      </c>
      <c r="H18" s="11" t="s">
        <v>99</v>
      </c>
      <c r="I18" s="11" t="s">
        <v>100</v>
      </c>
      <c r="J18" s="14"/>
    </row>
    <row r="19" spans="1:10" ht="80" x14ac:dyDescent="0.2">
      <c r="A19" s="7" t="s">
        <v>292</v>
      </c>
      <c r="B19" s="14" t="s">
        <v>314</v>
      </c>
      <c r="C19" s="11" t="s">
        <v>79</v>
      </c>
      <c r="D19" s="11" t="s">
        <v>80</v>
      </c>
      <c r="E19" s="12" t="str">
        <f>IF($D19="","",IFERROR(INDEX(validation!$A$2:$A$24,MATCH($D19,validation!$B$2:$B$24,0)),""))</f>
        <v>QTL</v>
      </c>
      <c r="F19" s="11" t="s">
        <v>82</v>
      </c>
      <c r="G19" s="11" t="s">
        <v>321</v>
      </c>
      <c r="H19" s="11" t="s">
        <v>99</v>
      </c>
      <c r="I19" s="11" t="s">
        <v>100</v>
      </c>
      <c r="J19" s="14"/>
    </row>
    <row r="20" spans="1:10" ht="80" x14ac:dyDescent="0.2">
      <c r="A20" s="7" t="s">
        <v>293</v>
      </c>
      <c r="B20" s="14" t="s">
        <v>315</v>
      </c>
      <c r="C20" s="11" t="s">
        <v>79</v>
      </c>
      <c r="D20" s="11" t="s">
        <v>80</v>
      </c>
      <c r="E20" s="12" t="str">
        <f>IF($D20="","",IFERROR(INDEX(validation!$A$2:$A$24,MATCH($D20,validation!$B$2:$B$24,0)),""))</f>
        <v>QTL</v>
      </c>
      <c r="F20" s="11" t="s">
        <v>82</v>
      </c>
      <c r="G20" s="11" t="s">
        <v>321</v>
      </c>
      <c r="H20" s="11" t="s">
        <v>99</v>
      </c>
      <c r="I20" s="11" t="s">
        <v>100</v>
      </c>
      <c r="J20" s="14"/>
    </row>
    <row r="21" spans="1:10" ht="96" x14ac:dyDescent="0.2">
      <c r="A21" s="7" t="s">
        <v>294</v>
      </c>
      <c r="B21" s="14" t="s">
        <v>316</v>
      </c>
      <c r="C21" s="11" t="s">
        <v>79</v>
      </c>
      <c r="D21" s="11" t="s">
        <v>80</v>
      </c>
      <c r="E21" s="12" t="str">
        <f>IF($D21="","",IFERROR(INDEX(validation!$A$2:$A$24,MATCH($D21,validation!$B$2:$B$24,0)),""))</f>
        <v>QTL</v>
      </c>
      <c r="F21" s="11" t="s">
        <v>82</v>
      </c>
      <c r="G21" s="11" t="s">
        <v>321</v>
      </c>
      <c r="H21" s="11" t="s">
        <v>99</v>
      </c>
      <c r="I21" s="11" t="s">
        <v>100</v>
      </c>
      <c r="J21" s="14"/>
    </row>
    <row r="22" spans="1:10" ht="96" x14ac:dyDescent="0.2">
      <c r="A22" s="7" t="s">
        <v>295</v>
      </c>
      <c r="B22" s="14" t="s">
        <v>317</v>
      </c>
      <c r="C22" s="11" t="s">
        <v>79</v>
      </c>
      <c r="D22" s="11" t="s">
        <v>80</v>
      </c>
      <c r="E22" s="12" t="str">
        <f>IF($D22="","",IFERROR(INDEX(validation!$A$2:$A$24,MATCH($D22,validation!$B$2:$B$24,0)),""))</f>
        <v>QTL</v>
      </c>
      <c r="F22" s="11" t="s">
        <v>82</v>
      </c>
      <c r="G22" s="11" t="s">
        <v>321</v>
      </c>
      <c r="H22" s="11" t="s">
        <v>99</v>
      </c>
      <c r="I22" s="11" t="s">
        <v>100</v>
      </c>
      <c r="J22" s="14"/>
    </row>
    <row r="23" spans="1:10" ht="96" x14ac:dyDescent="0.2">
      <c r="A23" s="7" t="s">
        <v>296</v>
      </c>
      <c r="B23" s="14" t="s">
        <v>318</v>
      </c>
      <c r="C23" s="11" t="s">
        <v>79</v>
      </c>
      <c r="D23" s="11" t="s">
        <v>80</v>
      </c>
      <c r="E23" s="12" t="str">
        <f>IF($D23="","",IFERROR(INDEX(validation!$A$2:$A$24,MATCH($D23,validation!$B$2:$B$24,0)),""))</f>
        <v>QTL</v>
      </c>
      <c r="F23" s="11" t="s">
        <v>82</v>
      </c>
      <c r="G23" s="11" t="s">
        <v>321</v>
      </c>
      <c r="H23" s="11" t="s">
        <v>99</v>
      </c>
      <c r="I23" s="11" t="s">
        <v>100</v>
      </c>
      <c r="J23" s="14"/>
    </row>
    <row r="24" spans="1:10" ht="96" x14ac:dyDescent="0.2">
      <c r="A24" s="7" t="s">
        <v>297</v>
      </c>
      <c r="B24" s="14" t="s">
        <v>319</v>
      </c>
      <c r="C24" s="11" t="s">
        <v>79</v>
      </c>
      <c r="D24" s="11" t="s">
        <v>80</v>
      </c>
      <c r="E24" s="12" t="str">
        <f>IF($D24="","",IFERROR(INDEX(validation!$A$2:$A$24,MATCH($D24,validation!$B$2:$B$24,0)),""))</f>
        <v>QTL</v>
      </c>
      <c r="F24" s="11" t="s">
        <v>82</v>
      </c>
      <c r="G24" s="11" t="s">
        <v>321</v>
      </c>
      <c r="H24" s="11" t="s">
        <v>99</v>
      </c>
      <c r="I24" s="11" t="s">
        <v>100</v>
      </c>
      <c r="J24" s="14"/>
    </row>
    <row r="25" spans="1:10" s="5" customFormat="1" ht="18" customHeight="1" x14ac:dyDescent="0.15">
      <c r="A25" s="12" t="s">
        <v>272</v>
      </c>
      <c r="B25" s="11" t="s">
        <v>113</v>
      </c>
      <c r="C25" s="11"/>
      <c r="D25" s="11" t="s">
        <v>114</v>
      </c>
      <c r="E25" s="12" t="str">
        <f>IF($D25="","",IFERROR(INDEX(validation!$A$2:$A$24,MATCH($D25,validation!$B$2:$B$24,0)),""))</f>
        <v>DB</v>
      </c>
      <c r="F25" s="11" t="s">
        <v>106</v>
      </c>
      <c r="G25" s="11" t="s">
        <v>115</v>
      </c>
      <c r="H25" s="11" t="s">
        <v>325</v>
      </c>
      <c r="I25" s="7"/>
      <c r="J25" s="11" t="s">
        <v>116</v>
      </c>
    </row>
    <row r="26" spans="1:10" ht="224" x14ac:dyDescent="0.2">
      <c r="A26" s="7" t="s">
        <v>298</v>
      </c>
      <c r="B26" s="14" t="s">
        <v>323</v>
      </c>
      <c r="C26" s="14"/>
      <c r="D26" s="14" t="s">
        <v>137</v>
      </c>
      <c r="E26" s="14" t="s">
        <v>136</v>
      </c>
      <c r="F26" s="11" t="s">
        <v>106</v>
      </c>
      <c r="G26" s="14"/>
      <c r="H26" s="14"/>
      <c r="I26" s="14"/>
      <c r="J26" s="14" t="s">
        <v>334</v>
      </c>
    </row>
    <row r="27" spans="1:10" ht="320" x14ac:dyDescent="0.2">
      <c r="A27" s="7" t="s">
        <v>299</v>
      </c>
      <c r="B27" s="14" t="s">
        <v>324</v>
      </c>
      <c r="C27" s="14"/>
      <c r="D27" s="14" t="s">
        <v>137</v>
      </c>
      <c r="E27" s="14" t="s">
        <v>136</v>
      </c>
      <c r="F27" s="11" t="s">
        <v>106</v>
      </c>
      <c r="G27" s="14"/>
      <c r="H27" s="14"/>
      <c r="I27" s="14"/>
      <c r="J27" s="14" t="s">
        <v>335</v>
      </c>
    </row>
    <row r="28" spans="1:10" s="5" customFormat="1" ht="18" customHeight="1" x14ac:dyDescent="0.15">
      <c r="A28" s="12" t="s">
        <v>271</v>
      </c>
      <c r="B28" s="11" t="s">
        <v>112</v>
      </c>
      <c r="C28" s="11"/>
      <c r="D28" s="11" t="s">
        <v>109</v>
      </c>
      <c r="E28" s="12" t="str">
        <f>IF($D28="","",IFERROR(INDEX(validation!$A$2:$A$24,MATCH($D28,validation!$B$2:$B$24,0)),""))</f>
        <v>PERTURB</v>
      </c>
      <c r="F28" s="11" t="s">
        <v>106</v>
      </c>
      <c r="G28" s="11" t="s">
        <v>110</v>
      </c>
      <c r="H28" s="7"/>
      <c r="I28" s="7"/>
      <c r="J28" s="11" t="s">
        <v>111</v>
      </c>
    </row>
    <row r="29" spans="1:10" s="5" customFormat="1" ht="18" customHeight="1" x14ac:dyDescent="0.15">
      <c r="A29" s="12" t="s">
        <v>270</v>
      </c>
      <c r="B29" s="11" t="s">
        <v>108</v>
      </c>
      <c r="C29" s="11"/>
      <c r="D29" s="11" t="s">
        <v>109</v>
      </c>
      <c r="E29" s="12" t="str">
        <f>IF($D29="","",IFERROR(INDEX(validation!$A$2:$A$24,MATCH($D29,validation!$B$2:$B$24,0)),""))</f>
        <v>PERTURB</v>
      </c>
      <c r="F29" s="11" t="s">
        <v>106</v>
      </c>
      <c r="G29" s="11" t="s">
        <v>110</v>
      </c>
      <c r="H29" s="7"/>
      <c r="I29" s="7"/>
      <c r="J29" s="11" t="s">
        <v>111</v>
      </c>
    </row>
    <row r="36" spans="2:10" s="5" customFormat="1" ht="18" customHeight="1" x14ac:dyDescent="0.15">
      <c r="B36" s="8"/>
      <c r="C36" s="8"/>
      <c r="D36" s="8"/>
      <c r="F36" s="8"/>
      <c r="G36" s="8"/>
      <c r="H36" s="8"/>
      <c r="I36" s="9"/>
      <c r="J36" s="8"/>
    </row>
    <row r="37" spans="2:10" s="5" customFormat="1" ht="18" customHeight="1" x14ac:dyDescent="0.15">
      <c r="B37" s="8"/>
      <c r="C37" s="8"/>
      <c r="D37" s="8"/>
      <c r="F37" s="8"/>
      <c r="G37" s="8"/>
      <c r="H37" s="8"/>
      <c r="I37" s="9"/>
      <c r="J37" s="9"/>
    </row>
    <row r="38" spans="2:10" s="5" customFormat="1" ht="18" customHeight="1" x14ac:dyDescent="0.15">
      <c r="B38" s="8"/>
      <c r="C38" s="8"/>
      <c r="D38" s="8"/>
      <c r="F38" s="8"/>
      <c r="G38" s="8"/>
      <c r="H38" s="8"/>
      <c r="I38" s="9"/>
      <c r="J38" s="9"/>
    </row>
    <row r="39" spans="2:10" s="5" customFormat="1" ht="18" customHeight="1" x14ac:dyDescent="0.15">
      <c r="B39" s="8"/>
      <c r="C39" s="8"/>
      <c r="D39" s="8"/>
      <c r="F39" s="8"/>
      <c r="G39" s="8"/>
      <c r="H39" s="8"/>
      <c r="I39" s="9"/>
      <c r="J39" s="8"/>
    </row>
    <row r="40" spans="2:10" s="5" customFormat="1" ht="18" customHeight="1" x14ac:dyDescent="0.15">
      <c r="B40" s="8"/>
      <c r="C40" s="8"/>
      <c r="D40" s="8"/>
      <c r="F40" s="8"/>
      <c r="G40" s="8"/>
      <c r="H40" s="8"/>
      <c r="I40" s="8"/>
      <c r="J40" s="9"/>
    </row>
    <row r="41" spans="2:10" s="5" customFormat="1" ht="18" customHeight="1" x14ac:dyDescent="0.2"/>
    <row r="42" spans="2:10" s="5" customFormat="1" ht="18" customHeight="1" x14ac:dyDescent="0.15">
      <c r="B42" s="8"/>
      <c r="C42" s="8"/>
      <c r="D42" s="8"/>
      <c r="F42" s="8"/>
      <c r="G42" s="8"/>
      <c r="H42" s="8"/>
      <c r="I42" s="8"/>
      <c r="J42" s="8"/>
    </row>
    <row r="43" spans="2:10" s="5" customFormat="1" ht="18" customHeight="1" x14ac:dyDescent="0.15">
      <c r="B43" s="8"/>
      <c r="C43" s="8"/>
      <c r="D43" s="8"/>
      <c r="F43" s="8"/>
      <c r="G43" s="8"/>
      <c r="H43" s="8"/>
      <c r="I43" s="8"/>
      <c r="J43" s="8"/>
    </row>
    <row r="44" spans="2:10" s="5" customFormat="1" ht="18" customHeight="1" x14ac:dyDescent="0.15">
      <c r="B44" s="8"/>
      <c r="C44" s="8"/>
      <c r="D44" s="8"/>
      <c r="F44" s="8"/>
      <c r="G44" s="8"/>
      <c r="H44" s="8"/>
      <c r="I44" s="9"/>
      <c r="J44" s="9"/>
    </row>
    <row r="45" spans="2:10" s="5" customFormat="1" ht="18" customHeight="1" x14ac:dyDescent="0.15">
      <c r="B45" s="8"/>
      <c r="C45" s="8"/>
      <c r="D45" s="8"/>
      <c r="F45" s="8"/>
      <c r="G45" s="8"/>
      <c r="H45" s="8"/>
      <c r="I45" s="9"/>
      <c r="J45" s="8"/>
    </row>
    <row r="49" spans="1:5" s="5" customFormat="1" ht="18" customHeight="1" x14ac:dyDescent="0.15">
      <c r="A49" s="9"/>
      <c r="D49" s="5" t="str">
        <f ca="1">IF($E49="","",IFERROR(VLOOKUP($E49,validation!$A$2:$B$24,2,FALSE),""))</f>
        <v/>
      </c>
      <c r="E49" s="5" t="str">
        <f ca="1">IF($D49="","",IFERROR(INDEX(validation!$A$2:$A$24,MATCH($D49,validation!$B$2:$B$24,0)),""))</f>
        <v/>
      </c>
    </row>
    <row r="50" spans="1:5" s="5" customFormat="1" ht="18" customHeight="1" x14ac:dyDescent="0.15">
      <c r="A50" s="9"/>
      <c r="D50" s="5" t="str">
        <f ca="1">IF($E50="","",IFERROR(VLOOKUP($E50,validation!$A$2:$B$24,2,FALSE),""))</f>
        <v/>
      </c>
      <c r="E50" s="5" t="str">
        <f ca="1">IF($D50="","",IFERROR(INDEX(validation!$A$2:$A$24,MATCH($D50,validation!$B$2:$B$24,0)),""))</f>
        <v/>
      </c>
    </row>
    <row r="51" spans="1:5" s="5" customFormat="1" ht="18" customHeight="1" x14ac:dyDescent="0.15">
      <c r="A51" s="9"/>
      <c r="D51" s="5" t="str">
        <f ca="1">IF($E51="","",IFERROR(VLOOKUP($E51,validation!$A$2:$B$24,2,FALSE),""))</f>
        <v/>
      </c>
      <c r="E51" s="5" t="str">
        <f ca="1">IF($D51="","",IFERROR(INDEX(validation!$A$2:$A$24,MATCH($D51,validation!$B$2:$B$24,0)),""))</f>
        <v/>
      </c>
    </row>
    <row r="52" spans="1:5" s="5" customFormat="1" ht="18" customHeight="1" x14ac:dyDescent="0.15">
      <c r="A52" s="9"/>
      <c r="D52" s="5" t="str">
        <f ca="1">IF($E52="","",IFERROR(VLOOKUP($E52,validation!$A$2:$B$24,2,FALSE),""))</f>
        <v/>
      </c>
      <c r="E52" s="5" t="str">
        <f ca="1">IF($D52="","",IFERROR(INDEX(validation!$A$2:$A$24,MATCH($D52,validation!$B$2:$B$24,0)),""))</f>
        <v/>
      </c>
    </row>
    <row r="53" spans="1:5" s="5" customFormat="1" ht="18" customHeight="1" x14ac:dyDescent="0.15">
      <c r="A53" s="9"/>
      <c r="D53" s="5" t="str">
        <f ca="1">IF($E53="","",IFERROR(VLOOKUP($E53,validation!$A$2:$B$24,2,FALSE),""))</f>
        <v/>
      </c>
      <c r="E53" s="5" t="str">
        <f ca="1">IF($D53="","",IFERROR(INDEX(validation!$A$2:$A$24,MATCH($D53,validation!$B$2:$B$24,0)),""))</f>
        <v/>
      </c>
    </row>
    <row r="54" spans="1:5" s="5" customFormat="1" ht="18" customHeight="1" x14ac:dyDescent="0.2">
      <c r="D54" s="5" t="str">
        <f ca="1">IF($E54="","",IFERROR(VLOOKUP($E54,validation!$A$2:$B$24,2,FALSE),""))</f>
        <v/>
      </c>
      <c r="E54" s="5" t="str">
        <f ca="1">IF($D54="","",IFERROR(INDEX(validation!$A$2:$A$24,MATCH($D54,validation!$B$2:$B$24,0)),""))</f>
        <v/>
      </c>
    </row>
    <row r="55" spans="1:5" s="5" customFormat="1" ht="18" customHeight="1" x14ac:dyDescent="0.2">
      <c r="D55" s="5" t="str">
        <f ca="1">IF($E55="","",IFERROR(VLOOKUP($E55,validation!$A$2:$B$24,2,FALSE),""))</f>
        <v/>
      </c>
      <c r="E55" s="5" t="str">
        <f ca="1">IF($D55="","",IFERROR(INDEX(validation!$A$2:$A$24,MATCH($D55,validation!$B$2:$B$24,0)),""))</f>
        <v/>
      </c>
    </row>
    <row r="56" spans="1:5" s="5" customFormat="1" ht="18" customHeight="1" x14ac:dyDescent="0.15">
      <c r="A56" s="9"/>
      <c r="D56" s="5" t="str">
        <f ca="1">IF($E56="","",IFERROR(VLOOKUP($E56,validation!$A$2:$B$24,2,FALSE),""))</f>
        <v/>
      </c>
      <c r="E56" s="5" t="str">
        <f ca="1">IF($D56="","",IFERROR(INDEX(validation!$A$2:$A$24,MATCH($D56,validation!$B$2:$B$24,0)),""))</f>
        <v/>
      </c>
    </row>
    <row r="57" spans="1:5" s="5" customFormat="1" ht="18" customHeight="1" x14ac:dyDescent="0.15">
      <c r="A57" s="9"/>
      <c r="D57" s="5" t="str">
        <f ca="1">IF($E57="","",IFERROR(VLOOKUP($E57,validation!$A$2:$B$24,2,FALSE),""))</f>
        <v/>
      </c>
      <c r="E57" s="5" t="str">
        <f ca="1">IF($D57="","",IFERROR(INDEX(validation!$A$2:$A$24,MATCH($D57,validation!$B$2:$B$24,0)),""))</f>
        <v/>
      </c>
    </row>
    <row r="58" spans="1:5" s="5" customFormat="1" ht="18" customHeight="1" x14ac:dyDescent="0.2">
      <c r="D58" s="5" t="str">
        <f ca="1">IF($E58="","",IFERROR(VLOOKUP($E58,validation!$A$2:$B$24,2,FALSE),""))</f>
        <v/>
      </c>
      <c r="E58" s="5" t="str">
        <f ca="1">IF($D58="","",IFERROR(INDEX(validation!$A$2:$A$24,MATCH($D58,validation!$B$2:$B$24,0)),""))</f>
        <v/>
      </c>
    </row>
    <row r="59" spans="1:5" s="5" customFormat="1" ht="18" customHeight="1" x14ac:dyDescent="0.2">
      <c r="D59" s="5" t="str">
        <f ca="1">IF($E59="","",IFERROR(VLOOKUP($E59,validation!$A$2:$B$24,2,FALSE),""))</f>
        <v/>
      </c>
      <c r="E59" s="5" t="str">
        <f ca="1">IF($D59="","",IFERROR(INDEX(validation!$A$2:$A$24,MATCH($D59,validation!$B$2:$B$24,0)),""))</f>
        <v/>
      </c>
    </row>
    <row r="60" spans="1:5" s="5" customFormat="1" ht="18" customHeight="1" x14ac:dyDescent="0.2">
      <c r="D60" s="5" t="str">
        <f ca="1">IF($E60="","",IFERROR(VLOOKUP($E60,validation!$A$2:$B$24,2,FALSE),""))</f>
        <v/>
      </c>
      <c r="E60" s="5" t="str">
        <f ca="1">IF($D60="","",IFERROR(INDEX(validation!$A$2:$A$24,MATCH($D60,validation!$B$2:$B$24,0)),""))</f>
        <v/>
      </c>
    </row>
    <row r="61" spans="1:5" s="5" customFormat="1" ht="18" customHeight="1" x14ac:dyDescent="0.2">
      <c r="D61" s="5" t="str">
        <f ca="1">IF($E61="","",IFERROR(VLOOKUP($E61,validation!$A$2:$B$24,2,FALSE),""))</f>
        <v/>
      </c>
      <c r="E61" s="5" t="str">
        <f ca="1">IF($D61="","",IFERROR(INDEX(validation!$A$2:$A$24,MATCH($D61,validation!$B$2:$B$24,0)),""))</f>
        <v/>
      </c>
    </row>
    <row r="62" spans="1:5" s="5" customFormat="1" ht="18" customHeight="1" x14ac:dyDescent="0.2">
      <c r="D62" s="5" t="str">
        <f ca="1">IF($E62="","",IFERROR(VLOOKUP($E62,validation!$A$2:$B$24,2,FALSE),""))</f>
        <v/>
      </c>
      <c r="E62" s="5" t="str">
        <f ca="1">IF($D62="","",IFERROR(INDEX(validation!$A$2:$A$24,MATCH($D62,validation!$B$2:$B$24,0)),""))</f>
        <v/>
      </c>
    </row>
    <row r="63" spans="1:5" s="5" customFormat="1" ht="18" customHeight="1" x14ac:dyDescent="0.2">
      <c r="D63" s="5" t="str">
        <f ca="1">IF($E63="","",IFERROR(VLOOKUP($E63,validation!$A$2:$B$24,2,FALSE),""))</f>
        <v/>
      </c>
      <c r="E63" s="5" t="str">
        <f ca="1">IF($D63="","",IFERROR(INDEX(validation!$A$2:$A$24,MATCH($D63,validation!$B$2:$B$24,0)),""))</f>
        <v/>
      </c>
    </row>
    <row r="64" spans="1:5" s="5" customFormat="1" ht="18" customHeight="1" x14ac:dyDescent="0.2">
      <c r="D64" s="5" t="str">
        <f ca="1">IF($E64="","",IFERROR(VLOOKUP($E64,validation!$A$2:$B$24,2,FALSE),""))</f>
        <v/>
      </c>
      <c r="E64" s="5" t="str">
        <f ca="1">IF($D64="","",IFERROR(INDEX(validation!$A$2:$A$24,MATCH($D64,validation!$B$2:$B$24,0)),""))</f>
        <v/>
      </c>
    </row>
    <row r="65" spans="4:5" s="5" customFormat="1" ht="18" customHeight="1" x14ac:dyDescent="0.2">
      <c r="D65" s="5" t="str">
        <f ca="1">IF($E65="","",IFERROR(VLOOKUP($E65,validation!$A$2:$B$24,2,FALSE),""))</f>
        <v/>
      </c>
      <c r="E65" s="5" t="str">
        <f ca="1">IF($D65="","",IFERROR(INDEX(validation!$A$2:$A$24,MATCH($D65,validation!$B$2:$B$24,0)),""))</f>
        <v/>
      </c>
    </row>
    <row r="66" spans="4:5" s="5" customFormat="1" ht="18" customHeight="1" x14ac:dyDescent="0.2">
      <c r="D66" s="5" t="str">
        <f ca="1">IF($E66="","",IFERROR(VLOOKUP($E66,validation!$A$2:$B$24,2,FALSE),""))</f>
        <v/>
      </c>
      <c r="E66" s="5" t="str">
        <f ca="1">IF($D66="","",IFERROR(INDEX(validation!$A$2:$A$24,MATCH($D66,validation!$B$2:$B$24,0)),""))</f>
        <v/>
      </c>
    </row>
    <row r="67" spans="4:5" s="5" customFormat="1" ht="18" customHeight="1" x14ac:dyDescent="0.2">
      <c r="D67" s="5" t="str">
        <f ca="1">IF($E67="","",IFERROR(VLOOKUP($E67,validation!$A$2:$B$24,2,FALSE),""))</f>
        <v/>
      </c>
      <c r="E67" s="5" t="str">
        <f ca="1">IF($D67="","",IFERROR(INDEX(validation!$A$2:$A$24,MATCH($D67,validation!$B$2:$B$24,0)),""))</f>
        <v/>
      </c>
    </row>
    <row r="68" spans="4:5" s="5" customFormat="1" ht="18" customHeight="1" x14ac:dyDescent="0.2">
      <c r="D68" s="5" t="str">
        <f ca="1">IF($E68="","",IFERROR(VLOOKUP($E68,validation!$A$2:$B$24,2,FALSE),""))</f>
        <v/>
      </c>
      <c r="E68" s="5" t="str">
        <f ca="1">IF($D68="","",IFERROR(INDEX(validation!$A$2:$A$24,MATCH($D68,validation!$B$2:$B$24,0)),""))</f>
        <v/>
      </c>
    </row>
    <row r="69" spans="4:5" s="5" customFormat="1" ht="18" customHeight="1" x14ac:dyDescent="0.2">
      <c r="D69" s="5" t="str">
        <f ca="1">IF($E69="","",IFERROR(VLOOKUP($E69,validation!$A$2:$B$24,2,FALSE),""))</f>
        <v/>
      </c>
      <c r="E69" s="5" t="str">
        <f ca="1">IF($D69="","",IFERROR(INDEX(validation!$A$2:$A$24,MATCH($D69,validation!$B$2:$B$24,0)),""))</f>
        <v/>
      </c>
    </row>
    <row r="70" spans="4:5" s="5" customFormat="1" ht="18" customHeight="1" x14ac:dyDescent="0.2">
      <c r="D70" s="5" t="str">
        <f ca="1">IF($E70="","",IFERROR(VLOOKUP($E70,validation!$A$2:$B$24,2,FALSE),""))</f>
        <v/>
      </c>
      <c r="E70" s="5" t="str">
        <f ca="1">IF($D70="","",IFERROR(INDEX(validation!$A$2:$A$24,MATCH($D70,validation!$B$2:$B$24,0)),""))</f>
        <v/>
      </c>
    </row>
    <row r="71" spans="4:5" s="5" customFormat="1" ht="18" customHeight="1" x14ac:dyDescent="0.2">
      <c r="D71" s="5" t="str">
        <f ca="1">IF($E71="","",IFERROR(VLOOKUP($E71,validation!$A$2:$B$24,2,FALSE),""))</f>
        <v/>
      </c>
      <c r="E71" s="5" t="str">
        <f ca="1">IF($D71="","",IFERROR(INDEX(validation!$A$2:$A$24,MATCH($D71,validation!$B$2:$B$24,0)),""))</f>
        <v/>
      </c>
    </row>
    <row r="72" spans="4:5" s="5" customFormat="1" ht="18" customHeight="1" x14ac:dyDescent="0.2">
      <c r="D72" s="5" t="str">
        <f ca="1">IF($E72="","",IFERROR(VLOOKUP($E72,validation!$A$2:$B$24,2,FALSE),""))</f>
        <v/>
      </c>
      <c r="E72" s="5" t="str">
        <f ca="1">IF($D72="","",IFERROR(INDEX(validation!$A$2:$A$24,MATCH($D72,validation!$B$2:$B$24,0)),""))</f>
        <v/>
      </c>
    </row>
    <row r="73" spans="4:5" s="5" customFormat="1" ht="18" customHeight="1" x14ac:dyDescent="0.2">
      <c r="D73" s="5" t="str">
        <f ca="1">IF($E73="","",IFERROR(VLOOKUP($E73,validation!$A$2:$B$24,2,FALSE),""))</f>
        <v/>
      </c>
      <c r="E73" s="5" t="str">
        <f ca="1">IF($D73="","",IFERROR(INDEX(validation!$A$2:$A$24,MATCH($D73,validation!$B$2:$B$24,0)),""))</f>
        <v/>
      </c>
    </row>
    <row r="74" spans="4:5" s="5" customFormat="1" ht="18" customHeight="1" x14ac:dyDescent="0.2">
      <c r="D74" s="5" t="str">
        <f ca="1">IF($E74="","",IFERROR(VLOOKUP($E74,validation!$A$2:$B$24,2,FALSE),""))</f>
        <v/>
      </c>
      <c r="E74" s="5" t="str">
        <f ca="1">IF($D74="","",IFERROR(INDEX(validation!$A$2:$A$24,MATCH($D74,validation!$B$2:$B$24,0)),""))</f>
        <v/>
      </c>
    </row>
    <row r="75" spans="4:5" s="5" customFormat="1" ht="18" customHeight="1" x14ac:dyDescent="0.2">
      <c r="D75" s="5" t="str">
        <f ca="1">IF($E75="","",IFERROR(VLOOKUP($E75,validation!$A$2:$B$24,2,FALSE),""))</f>
        <v/>
      </c>
      <c r="E75" s="5" t="str">
        <f ca="1">IF($D75="","",IFERROR(INDEX(validation!$A$2:$A$24,MATCH($D75,validation!$B$2:$B$24,0)),""))</f>
        <v/>
      </c>
    </row>
    <row r="76" spans="4:5" s="5" customFormat="1" ht="18" customHeight="1" x14ac:dyDescent="0.2">
      <c r="D76" s="5" t="str">
        <f ca="1">IF($E76="","",IFERROR(VLOOKUP($E76,validation!$A$2:$B$24,2,FALSE),""))</f>
        <v/>
      </c>
      <c r="E76" s="5" t="str">
        <f ca="1">IF($D76="","",IFERROR(INDEX(validation!$A$2:$A$24,MATCH($D76,validation!$B$2:$B$24,0)),""))</f>
        <v/>
      </c>
    </row>
    <row r="77" spans="4:5" s="5" customFormat="1" ht="18" customHeight="1" x14ac:dyDescent="0.2">
      <c r="D77" s="5" t="str">
        <f ca="1">IF($E77="","",IFERROR(VLOOKUP($E77,validation!$A$2:$B$24,2,FALSE),""))</f>
        <v/>
      </c>
      <c r="E77" s="5" t="str">
        <f ca="1">IF($D77="","",IFERROR(INDEX(validation!$A$2:$A$24,MATCH($D77,validation!$B$2:$B$24,0)),""))</f>
        <v/>
      </c>
    </row>
    <row r="78" spans="4:5" s="5" customFormat="1" ht="18" customHeight="1" x14ac:dyDescent="0.2">
      <c r="D78" s="5" t="str">
        <f ca="1">IF($E78="","",IFERROR(VLOOKUP($E78,validation!$A$2:$B$24,2,FALSE),""))</f>
        <v/>
      </c>
      <c r="E78" s="5" t="str">
        <f ca="1">IF($D78="","",IFERROR(INDEX(validation!$A$2:$A$24,MATCH($D78,validation!$B$2:$B$24,0)),""))</f>
        <v/>
      </c>
    </row>
    <row r="79" spans="4:5" s="5" customFormat="1" ht="18" customHeight="1" x14ac:dyDescent="0.2">
      <c r="D79" s="5" t="str">
        <f ca="1">IF($E79="","",IFERROR(VLOOKUP($E79,validation!$A$2:$B$24,2,FALSE),""))</f>
        <v/>
      </c>
      <c r="E79" s="5" t="str">
        <f ca="1">IF($D79="","",IFERROR(INDEX(validation!$A$2:$A$24,MATCH($D79,validation!$B$2:$B$24,0)),""))</f>
        <v/>
      </c>
    </row>
    <row r="80" spans="4:5" s="5" customFormat="1" ht="18" customHeight="1" x14ac:dyDescent="0.2">
      <c r="D80" s="5" t="str">
        <f ca="1">IF($E80="","",IFERROR(VLOOKUP($E80,validation!$A$2:$B$24,2,FALSE),""))</f>
        <v/>
      </c>
      <c r="E80" s="5" t="str">
        <f ca="1">IF($D80="","",IFERROR(INDEX(validation!$A$2:$A$24,MATCH($D80,validation!$B$2:$B$24,0)),""))</f>
        <v/>
      </c>
    </row>
    <row r="81" spans="4:5" s="5" customFormat="1" ht="18" customHeight="1" x14ac:dyDescent="0.2">
      <c r="D81" s="5" t="str">
        <f ca="1">IF($E81="","",IFERROR(VLOOKUP($E81,validation!$A$2:$B$24,2,FALSE),""))</f>
        <v/>
      </c>
      <c r="E81" s="5" t="str">
        <f ca="1">IF($D81="","",IFERROR(INDEX(validation!$A$2:$A$24,MATCH($D81,validation!$B$2:$B$24,0)),""))</f>
        <v/>
      </c>
    </row>
    <row r="82" spans="4:5" s="5" customFormat="1" ht="18" customHeight="1" x14ac:dyDescent="0.2">
      <c r="D82" s="5" t="str">
        <f ca="1">IF($E82="","",IFERROR(VLOOKUP($E82,validation!$A$2:$B$24,2,FALSE),""))</f>
        <v/>
      </c>
      <c r="E82" s="5" t="str">
        <f ca="1">IF($D82="","",IFERROR(INDEX(validation!$A$2:$A$24,MATCH($D82,validation!$B$2:$B$24,0)),""))</f>
        <v/>
      </c>
    </row>
    <row r="83" spans="4:5" s="5" customFormat="1" ht="18" customHeight="1" x14ac:dyDescent="0.2">
      <c r="D83" s="5" t="str">
        <f ca="1">IF($E83="","",IFERROR(VLOOKUP($E83,validation!$A$2:$B$24,2,FALSE),""))</f>
        <v/>
      </c>
      <c r="E83" s="5" t="str">
        <f ca="1">IF($D83="","",IFERROR(INDEX(validation!$A$2:$A$24,MATCH($D83,validation!$B$2:$B$24,0)),""))</f>
        <v/>
      </c>
    </row>
    <row r="84" spans="4:5" s="5" customFormat="1" ht="18" customHeight="1" x14ac:dyDescent="0.2">
      <c r="D84" s="5" t="str">
        <f ca="1">IF($E84="","",IFERROR(VLOOKUP($E84,validation!$A$2:$B$24,2,FALSE),""))</f>
        <v/>
      </c>
      <c r="E84" s="5" t="str">
        <f ca="1">IF($D84="","",IFERROR(INDEX(validation!$A$2:$A$24,MATCH($D84,validation!$B$2:$B$24,0)),""))</f>
        <v/>
      </c>
    </row>
    <row r="85" spans="4:5" s="5" customFormat="1" ht="18" customHeight="1" x14ac:dyDescent="0.2">
      <c r="D85" s="5" t="str">
        <f ca="1">IF($E85="","",IFERROR(VLOOKUP($E85,validation!$A$2:$B$24,2,FALSE),""))</f>
        <v/>
      </c>
      <c r="E85" s="5" t="str">
        <f ca="1">IF($D85="","",IFERROR(INDEX(validation!$A$2:$A$24,MATCH($D85,validation!$B$2:$B$24,0)),""))</f>
        <v/>
      </c>
    </row>
    <row r="86" spans="4:5" s="5" customFormat="1" ht="18" customHeight="1" x14ac:dyDescent="0.2">
      <c r="D86" s="5" t="str">
        <f ca="1">IF($E86="","",IFERROR(VLOOKUP($E86,validation!$A$2:$B$24,2,FALSE),""))</f>
        <v/>
      </c>
      <c r="E86" s="5" t="str">
        <f ca="1">IF($D86="","",IFERROR(INDEX(validation!$A$2:$A$24,MATCH($D86,validation!$B$2:$B$24,0)),""))</f>
        <v/>
      </c>
    </row>
    <row r="87" spans="4:5" s="5" customFormat="1" ht="18" customHeight="1" x14ac:dyDescent="0.2">
      <c r="D87" s="5" t="str">
        <f ca="1">IF($E87="","",IFERROR(VLOOKUP($E87,validation!$A$2:$B$24,2,FALSE),""))</f>
        <v/>
      </c>
      <c r="E87" s="5" t="str">
        <f ca="1">IF($D87="","",IFERROR(INDEX(validation!$A$2:$A$24,MATCH($D87,validation!$B$2:$B$24,0)),""))</f>
        <v/>
      </c>
    </row>
    <row r="88" spans="4:5" s="5" customFormat="1" ht="18" customHeight="1" x14ac:dyDescent="0.2">
      <c r="D88" s="5" t="str">
        <f ca="1">IF($E88="","",IFERROR(VLOOKUP($E88,validation!$A$2:$B$24,2,FALSE),""))</f>
        <v/>
      </c>
      <c r="E88" s="5" t="str">
        <f ca="1">IF($D88="","",IFERROR(INDEX(validation!$A$2:$A$24,MATCH($D88,validation!$B$2:$B$24,0)),""))</f>
        <v/>
      </c>
    </row>
    <row r="89" spans="4:5" s="5" customFormat="1" ht="18" customHeight="1" x14ac:dyDescent="0.2">
      <c r="D89" s="5" t="str">
        <f ca="1">IF($E89="","",IFERROR(VLOOKUP($E89,validation!$A$2:$B$24,2,FALSE),""))</f>
        <v/>
      </c>
      <c r="E89" s="5" t="str">
        <f ca="1">IF($D89="","",IFERROR(INDEX(validation!$A$2:$A$24,MATCH($D89,validation!$B$2:$B$24,0)),""))</f>
        <v/>
      </c>
    </row>
    <row r="90" spans="4:5" s="5" customFormat="1" ht="18" customHeight="1" x14ac:dyDescent="0.2">
      <c r="D90" s="5" t="str">
        <f ca="1">IF($E90="","",IFERROR(VLOOKUP($E90,validation!$A$2:$B$24,2,FALSE),""))</f>
        <v/>
      </c>
      <c r="E90" s="5" t="str">
        <f ca="1">IF($D90="","",IFERROR(INDEX(validation!$A$2:$A$24,MATCH($D90,validation!$B$2:$B$24,0)),""))</f>
        <v/>
      </c>
    </row>
    <row r="91" spans="4:5" s="5" customFormat="1" ht="18" customHeight="1" x14ac:dyDescent="0.2">
      <c r="D91" s="5" t="str">
        <f ca="1">IF($E91="","",IFERROR(VLOOKUP($E91,validation!$A$2:$B$24,2,FALSE),""))</f>
        <v/>
      </c>
      <c r="E91" s="5" t="str">
        <f ca="1">IF($D91="","",IFERROR(INDEX(validation!$A$2:$A$24,MATCH($D91,validation!$B$2:$B$24,0)),""))</f>
        <v/>
      </c>
    </row>
    <row r="92" spans="4:5" s="5" customFormat="1" ht="18" customHeight="1" x14ac:dyDescent="0.2">
      <c r="D92" s="5" t="str">
        <f ca="1">IF($E92="","",IFERROR(VLOOKUP($E92,validation!$A$2:$B$24,2,FALSE),""))</f>
        <v/>
      </c>
      <c r="E92" s="5" t="str">
        <f ca="1">IF($D92="","",IFERROR(INDEX(validation!$A$2:$A$24,MATCH($D92,validation!$B$2:$B$24,0)),""))</f>
        <v/>
      </c>
    </row>
    <row r="93" spans="4:5" s="5" customFormat="1" ht="18" customHeight="1" x14ac:dyDescent="0.2">
      <c r="D93" s="5" t="str">
        <f ca="1">IF($E93="","",IFERROR(VLOOKUP($E93,validation!$A$2:$B$24,2,FALSE),""))</f>
        <v/>
      </c>
      <c r="E93" s="5" t="str">
        <f ca="1">IF($D93="","",IFERROR(INDEX(validation!$A$2:$A$24,MATCH($D93,validation!$B$2:$B$24,0)),""))</f>
        <v/>
      </c>
    </row>
    <row r="94" spans="4:5" s="5" customFormat="1" ht="18" customHeight="1" x14ac:dyDescent="0.2">
      <c r="D94" s="5" t="str">
        <f ca="1">IF($E94="","",IFERROR(VLOOKUP($E94,validation!$A$2:$B$24,2,FALSE),""))</f>
        <v/>
      </c>
      <c r="E94" s="5" t="str">
        <f ca="1">IF($D94="","",IFERROR(INDEX(validation!$A$2:$A$24,MATCH($D94,validation!$B$2:$B$24,0)),""))</f>
        <v/>
      </c>
    </row>
    <row r="95" spans="4:5" s="5" customFormat="1" ht="18" customHeight="1" x14ac:dyDescent="0.2">
      <c r="D95" s="5" t="str">
        <f ca="1">IF($E95="","",IFERROR(VLOOKUP($E95,validation!$A$2:$B$24,2,FALSE),""))</f>
        <v/>
      </c>
      <c r="E95" s="5" t="str">
        <f ca="1">IF($D95="","",IFERROR(INDEX(validation!$A$2:$A$24,MATCH($D95,validation!$B$2:$B$24,0)),""))</f>
        <v/>
      </c>
    </row>
    <row r="96" spans="4:5" s="5" customFormat="1" ht="18" customHeight="1" x14ac:dyDescent="0.2">
      <c r="D96" s="5" t="str">
        <f ca="1">IF($E96="","",IFERROR(VLOOKUP($E96,validation!$A$2:$B$24,2,FALSE),""))</f>
        <v/>
      </c>
      <c r="E96" s="5" t="str">
        <f ca="1">IF($D96="","",IFERROR(INDEX(validation!$A$2:$A$24,MATCH($D96,validation!$B$2:$B$24,0)),""))</f>
        <v/>
      </c>
    </row>
    <row r="97" spans="4:5" s="5" customFormat="1" ht="18" customHeight="1" x14ac:dyDescent="0.2">
      <c r="D97" s="5" t="str">
        <f ca="1">IF($E97="","",IFERROR(VLOOKUP($E97,validation!$A$2:$B$24,2,FALSE),""))</f>
        <v/>
      </c>
      <c r="E97" s="5" t="str">
        <f ca="1">IF($D97="","",IFERROR(INDEX(validation!$A$2:$A$24,MATCH($D97,validation!$B$2:$B$24,0)),""))</f>
        <v/>
      </c>
    </row>
    <row r="98" spans="4:5" s="5" customFormat="1" ht="18" customHeight="1" x14ac:dyDescent="0.2">
      <c r="D98" s="5" t="str">
        <f ca="1">IF($E98="","",IFERROR(VLOOKUP($E98,validation!$A$2:$B$24,2,FALSE),""))</f>
        <v/>
      </c>
      <c r="E98" s="5" t="str">
        <f ca="1">IF($D98="","",IFERROR(INDEX(validation!$A$2:$A$24,MATCH($D98,validation!$B$2:$B$24,0)),""))</f>
        <v/>
      </c>
    </row>
    <row r="99" spans="4:5" s="5" customFormat="1" ht="18" customHeight="1" x14ac:dyDescent="0.2">
      <c r="D99" s="5" t="str">
        <f ca="1">IF($E99="","",IFERROR(VLOOKUP($E99,validation!$A$2:$B$24,2,FALSE),""))</f>
        <v/>
      </c>
      <c r="E99" s="5" t="str">
        <f ca="1">IF($D99="","",IFERROR(INDEX(validation!$A$2:$A$24,MATCH($D99,validation!$B$2:$B$24,0)),""))</f>
        <v/>
      </c>
    </row>
    <row r="100" spans="4:5" s="5" customFormat="1" ht="18" customHeight="1" x14ac:dyDescent="0.2">
      <c r="D100" s="5" t="str">
        <f ca="1">IF($E100="","",IFERROR(VLOOKUP($E100,validation!$A$2:$B$24,2,FALSE),""))</f>
        <v/>
      </c>
      <c r="E100" s="5" t="str">
        <f ca="1">IF($D100="","",IFERROR(INDEX(validation!$A$2:$A$24,MATCH($D100,validation!$B$2:$B$24,0)),""))</f>
        <v/>
      </c>
    </row>
    <row r="101" spans="4:5" s="5" customFormat="1" ht="18" customHeight="1" x14ac:dyDescent="0.2">
      <c r="D101" s="5" t="str">
        <f ca="1">IF($E101="","",IFERROR(VLOOKUP($E101,validation!$A$2:$B$24,2,FALSE),""))</f>
        <v/>
      </c>
      <c r="E101" s="5" t="str">
        <f ca="1">IF($D101="","",IFERROR(INDEX(validation!$A$2:$A$24,MATCH($D101,validation!$B$2:$B$24,0)),""))</f>
        <v/>
      </c>
    </row>
    <row r="102" spans="4:5" s="5" customFormat="1" ht="18" customHeight="1" x14ac:dyDescent="0.2">
      <c r="D102" s="5" t="str">
        <f ca="1">IF($E102="","",IFERROR(VLOOKUP($E102,validation!$A$2:$B$24,2,FALSE),""))</f>
        <v/>
      </c>
      <c r="E102" s="5" t="str">
        <f ca="1">IF($D102="","",IFERROR(INDEX(validation!$A$2:$A$24,MATCH($D102,validation!$B$2:$B$24,0)),""))</f>
        <v/>
      </c>
    </row>
    <row r="103" spans="4:5" s="5" customFormat="1" ht="18" customHeight="1" x14ac:dyDescent="0.2">
      <c r="D103" s="5" t="str">
        <f ca="1">IF($E103="","",IFERROR(VLOOKUP($E103,validation!$A$2:$B$24,2,FALSE),""))</f>
        <v/>
      </c>
      <c r="E103" s="5" t="str">
        <f ca="1">IF($D103="","",IFERROR(INDEX(validation!$A$2:$A$24,MATCH($D103,validation!$B$2:$B$24,0)),""))</f>
        <v/>
      </c>
    </row>
    <row r="104" spans="4:5" s="5" customFormat="1" ht="18" customHeight="1" x14ac:dyDescent="0.2">
      <c r="D104" s="5" t="str">
        <f ca="1">IF($E104="","",IFERROR(VLOOKUP($E104,validation!$A$2:$B$24,2,FALSE),""))</f>
        <v/>
      </c>
      <c r="E104" s="5" t="str">
        <f ca="1">IF($D104="","",IFERROR(INDEX(validation!$A$2:$A$24,MATCH($D104,validation!$B$2:$B$24,0)),""))</f>
        <v/>
      </c>
    </row>
    <row r="105" spans="4:5" s="5" customFormat="1" ht="18" customHeight="1" x14ac:dyDescent="0.2">
      <c r="D105" s="5" t="str">
        <f ca="1">IF($E105="","",IFERROR(VLOOKUP($E105,validation!$A$2:$B$24,2,FALSE),""))</f>
        <v/>
      </c>
      <c r="E105" s="5" t="str">
        <f ca="1">IF($D105="","",IFERROR(INDEX(validation!$A$2:$A$24,MATCH($D105,validation!$B$2:$B$24,0)),""))</f>
        <v/>
      </c>
    </row>
    <row r="106" spans="4:5" s="5" customFormat="1" ht="18" customHeight="1" x14ac:dyDescent="0.2">
      <c r="D106" s="5" t="str">
        <f ca="1">IF($E106="","",IFERROR(VLOOKUP($E106,validation!$A$2:$B$24,2,FALSE),""))</f>
        <v/>
      </c>
      <c r="E106" s="5" t="str">
        <f ca="1">IF($D106="","",IFERROR(INDEX(validation!$A$2:$A$24,MATCH($D106,validation!$B$2:$B$24,0)),""))</f>
        <v/>
      </c>
    </row>
    <row r="107" spans="4:5" s="5" customFormat="1" ht="18" customHeight="1" x14ac:dyDescent="0.2">
      <c r="D107" s="5" t="str">
        <f ca="1">IF($E107="","",IFERROR(VLOOKUP($E107,validation!$A$2:$B$24,2,FALSE),""))</f>
        <v/>
      </c>
      <c r="E107" s="5" t="str">
        <f ca="1">IF($D107="","",IFERROR(INDEX(validation!$A$2:$A$24,MATCH($D107,validation!$B$2:$B$24,0)),""))</f>
        <v/>
      </c>
    </row>
    <row r="108" spans="4:5" s="5" customFormat="1" ht="18" customHeight="1" x14ac:dyDescent="0.2">
      <c r="D108" s="5" t="str">
        <f ca="1">IF($E108="","",IFERROR(VLOOKUP($E108,validation!$A$2:$B$24,2,FALSE),""))</f>
        <v/>
      </c>
      <c r="E108" s="5" t="str">
        <f ca="1">IF($D108="","",IFERROR(INDEX(validation!$A$2:$A$24,MATCH($D108,validation!$B$2:$B$24,0)),""))</f>
        <v/>
      </c>
    </row>
    <row r="109" spans="4:5" s="5" customFormat="1" ht="18" customHeight="1" x14ac:dyDescent="0.2">
      <c r="D109" s="5" t="str">
        <f ca="1">IF($E109="","",IFERROR(VLOOKUP($E109,validation!$A$2:$B$24,2,FALSE),""))</f>
        <v/>
      </c>
      <c r="E109" s="5" t="str">
        <f ca="1">IF($D109="","",IFERROR(INDEX(validation!$A$2:$A$24,MATCH($D109,validation!$B$2:$B$24,0)),""))</f>
        <v/>
      </c>
    </row>
    <row r="110" spans="4:5" s="5" customFormat="1" ht="18" customHeight="1" x14ac:dyDescent="0.2">
      <c r="D110" s="5" t="str">
        <f ca="1">IF($E110="","",IFERROR(VLOOKUP($E110,validation!$A$2:$B$24,2,FALSE),""))</f>
        <v/>
      </c>
      <c r="E110" s="5" t="str">
        <f ca="1">IF($D110="","",IFERROR(INDEX(validation!$A$2:$A$24,MATCH($D110,validation!$B$2:$B$24,0)),""))</f>
        <v/>
      </c>
    </row>
    <row r="111" spans="4:5" s="5" customFormat="1" ht="18" customHeight="1" x14ac:dyDescent="0.2">
      <c r="D111" s="5" t="str">
        <f ca="1">IF($E111="","",IFERROR(VLOOKUP($E111,validation!$A$2:$B$24,2,FALSE),""))</f>
        <v/>
      </c>
      <c r="E111" s="5" t="str">
        <f ca="1">IF($D111="","",IFERROR(INDEX(validation!$A$2:$A$24,MATCH($D111,validation!$B$2:$B$24,0)),""))</f>
        <v/>
      </c>
    </row>
    <row r="112" spans="4:5" s="5" customFormat="1" ht="18" customHeight="1" x14ac:dyDescent="0.2">
      <c r="D112" s="5" t="str">
        <f ca="1">IF($E112="","",IFERROR(VLOOKUP($E112,validation!$A$2:$B$24,2,FALSE),""))</f>
        <v/>
      </c>
      <c r="E112" s="5" t="str">
        <f ca="1">IF($D112="","",IFERROR(INDEX(validation!$A$2:$A$24,MATCH($D112,validation!$B$2:$B$24,0)),""))</f>
        <v/>
      </c>
    </row>
    <row r="113" spans="4:5" s="5" customFormat="1" ht="18" customHeight="1" x14ac:dyDescent="0.2">
      <c r="D113" s="5" t="str">
        <f ca="1">IF($E113="","",IFERROR(VLOOKUP($E113,validation!$A$2:$B$24,2,FALSE),""))</f>
        <v/>
      </c>
      <c r="E113" s="5" t="str">
        <f ca="1">IF($D113="","",IFERROR(INDEX(validation!$A$2:$A$24,MATCH($D113,validation!$B$2:$B$24,0)),""))</f>
        <v/>
      </c>
    </row>
    <row r="114" spans="4:5" s="5" customFormat="1" ht="18" customHeight="1" x14ac:dyDescent="0.2">
      <c r="D114" s="5" t="str">
        <f ca="1">IF($E114="","",IFERROR(VLOOKUP($E114,validation!$A$2:$B$24,2,FALSE),""))</f>
        <v/>
      </c>
      <c r="E114" s="5" t="str">
        <f ca="1">IF($D114="","",IFERROR(INDEX(validation!$A$2:$A$24,MATCH($D114,validation!$B$2:$B$24,0)),""))</f>
        <v/>
      </c>
    </row>
    <row r="115" spans="4:5" s="5" customFormat="1" ht="18" customHeight="1" x14ac:dyDescent="0.2">
      <c r="D115" s="5" t="str">
        <f ca="1">IF($E115="","",IFERROR(VLOOKUP($E115,validation!$A$2:$B$24,2,FALSE),""))</f>
        <v/>
      </c>
      <c r="E115" s="5" t="str">
        <f ca="1">IF($D115="","",IFERROR(INDEX(validation!$A$2:$A$24,MATCH($D115,validation!$B$2:$B$24,0)),""))</f>
        <v/>
      </c>
    </row>
    <row r="116" spans="4:5" s="5" customFormat="1" ht="18" customHeight="1" x14ac:dyDescent="0.2">
      <c r="D116" s="5" t="str">
        <f ca="1">IF($E116="","",IFERROR(VLOOKUP($E116,validation!$A$2:$B$24,2,FALSE),""))</f>
        <v/>
      </c>
      <c r="E116" s="5" t="str">
        <f ca="1">IF($D116="","",IFERROR(INDEX(validation!$A$2:$A$24,MATCH($D116,validation!$B$2:$B$24,0)),""))</f>
        <v/>
      </c>
    </row>
    <row r="117" spans="4:5" s="5" customFormat="1" ht="18" customHeight="1" x14ac:dyDescent="0.2">
      <c r="D117" s="5" t="str">
        <f ca="1">IF($E117="","",IFERROR(VLOOKUP($E117,validation!$A$2:$B$24,2,FALSE),""))</f>
        <v/>
      </c>
      <c r="E117" s="5" t="str">
        <f ca="1">IF($D117="","",IFERROR(INDEX(validation!$A$2:$A$24,MATCH($D117,validation!$B$2:$B$24,0)),""))</f>
        <v/>
      </c>
    </row>
    <row r="118" spans="4:5" s="5" customFormat="1" ht="18" customHeight="1" x14ac:dyDescent="0.2">
      <c r="D118" s="5" t="str">
        <f ca="1">IF($E118="","",IFERROR(VLOOKUP($E118,validation!$A$2:$B$24,2,FALSE),""))</f>
        <v/>
      </c>
      <c r="E118" s="5" t="str">
        <f ca="1">IF($D118="","",IFERROR(INDEX(validation!$A$2:$A$24,MATCH($D118,validation!$B$2:$B$24,0)),""))</f>
        <v/>
      </c>
    </row>
    <row r="119" spans="4:5" s="5" customFormat="1" ht="18" customHeight="1" x14ac:dyDescent="0.2">
      <c r="D119" s="5" t="str">
        <f ca="1">IF($E119="","",IFERROR(VLOOKUP($E119,validation!$A$2:$B$24,2,FALSE),""))</f>
        <v/>
      </c>
      <c r="E119" s="5" t="str">
        <f ca="1">IF($D119="","",IFERROR(INDEX(validation!$A$2:$A$24,MATCH($D119,validation!$B$2:$B$24,0)),""))</f>
        <v/>
      </c>
    </row>
    <row r="120" spans="4:5" s="5" customFormat="1" ht="18" customHeight="1" x14ac:dyDescent="0.2">
      <c r="D120" s="5" t="str">
        <f ca="1">IF($E120="","",IFERROR(VLOOKUP($E120,validation!$A$2:$B$24,2,FALSE),""))</f>
        <v/>
      </c>
      <c r="E120" s="5" t="str">
        <f ca="1">IF($D120="","",IFERROR(INDEX(validation!$A$2:$A$24,MATCH($D120,validation!$B$2:$B$24,0)),""))</f>
        <v/>
      </c>
    </row>
    <row r="121" spans="4:5" s="5" customFormat="1" ht="18" customHeight="1" x14ac:dyDescent="0.2">
      <c r="D121" s="5" t="str">
        <f ca="1">IF($E121="","",IFERROR(VLOOKUP($E121,validation!$A$2:$B$24,2,FALSE),""))</f>
        <v/>
      </c>
      <c r="E121" s="5" t="str">
        <f ca="1">IF($D121="","",IFERROR(INDEX(validation!$A$2:$A$24,MATCH($D121,validation!$B$2:$B$24,0)),""))</f>
        <v/>
      </c>
    </row>
    <row r="122" spans="4:5" s="5" customFormat="1" ht="18" customHeight="1" x14ac:dyDescent="0.2">
      <c r="D122" s="5" t="str">
        <f ca="1">IF($E122="","",IFERROR(VLOOKUP($E122,validation!$A$2:$B$24,2,FALSE),""))</f>
        <v/>
      </c>
      <c r="E122" s="5" t="str">
        <f ca="1">IF($D122="","",IFERROR(INDEX(validation!$A$2:$A$24,MATCH($D122,validation!$B$2:$B$24,0)),""))</f>
        <v/>
      </c>
    </row>
    <row r="123" spans="4:5" s="5" customFormat="1" ht="18" customHeight="1" x14ac:dyDescent="0.2">
      <c r="D123" s="5" t="str">
        <f ca="1">IF($E123="","",IFERROR(VLOOKUP($E123,validation!$A$2:$B$24,2,FALSE),""))</f>
        <v/>
      </c>
      <c r="E123" s="5" t="str">
        <f ca="1">IF($D123="","",IFERROR(INDEX(validation!$A$2:$A$24,MATCH($D123,validation!$B$2:$B$24,0)),""))</f>
        <v/>
      </c>
    </row>
    <row r="124" spans="4:5" s="5" customFormat="1" ht="18" customHeight="1" x14ac:dyDescent="0.2">
      <c r="D124" s="5" t="str">
        <f ca="1">IF($E124="","",IFERROR(VLOOKUP($E124,validation!$A$2:$B$24,2,FALSE),""))</f>
        <v/>
      </c>
      <c r="E124" s="5" t="str">
        <f ca="1">IF($D124="","",IFERROR(INDEX(validation!$A$2:$A$24,MATCH($D124,validation!$B$2:$B$24,0)),""))</f>
        <v/>
      </c>
    </row>
    <row r="125" spans="4:5" s="5" customFormat="1" ht="18" customHeight="1" x14ac:dyDescent="0.2">
      <c r="D125" s="5" t="str">
        <f ca="1">IF($E125="","",IFERROR(VLOOKUP($E125,validation!$A$2:$B$24,2,FALSE),""))</f>
        <v/>
      </c>
      <c r="E125" s="5" t="str">
        <f ca="1">IF($D125="","",IFERROR(INDEX(validation!$A$2:$A$24,MATCH($D125,validation!$B$2:$B$24,0)),""))</f>
        <v/>
      </c>
    </row>
    <row r="126" spans="4:5" s="5" customFormat="1" ht="18" customHeight="1" x14ac:dyDescent="0.2">
      <c r="D126" s="5" t="str">
        <f ca="1">IF($E126="","",IFERROR(VLOOKUP($E126,validation!$A$2:$B$24,2,FALSE),""))</f>
        <v/>
      </c>
      <c r="E126" s="5" t="str">
        <f ca="1">IF($D126="","",IFERROR(INDEX(validation!$A$2:$A$24,MATCH($D126,validation!$B$2:$B$24,0)),""))</f>
        <v/>
      </c>
    </row>
    <row r="127" spans="4:5" s="5" customFormat="1" ht="18" customHeight="1" x14ac:dyDescent="0.2">
      <c r="D127" s="5" t="str">
        <f ca="1">IF($E127="","",IFERROR(VLOOKUP($E127,validation!$A$2:$B$24,2,FALSE),""))</f>
        <v/>
      </c>
      <c r="E127" s="5" t="str">
        <f ca="1">IF($D127="","",IFERROR(INDEX(validation!$A$2:$A$24,MATCH($D127,validation!$B$2:$B$24,0)),""))</f>
        <v/>
      </c>
    </row>
    <row r="128" spans="4:5" s="5" customFormat="1" ht="18" customHeight="1" x14ac:dyDescent="0.2">
      <c r="D128" s="5" t="str">
        <f ca="1">IF($E128="","",IFERROR(VLOOKUP($E128,validation!$A$2:$B$24,2,FALSE),""))</f>
        <v/>
      </c>
      <c r="E128" s="5" t="str">
        <f ca="1">IF($D128="","",IFERROR(INDEX(validation!$A$2:$A$24,MATCH($D128,validation!$B$2:$B$24,0)),""))</f>
        <v/>
      </c>
    </row>
    <row r="129" spans="4:5" s="5" customFormat="1" ht="18" customHeight="1" x14ac:dyDescent="0.2">
      <c r="D129" s="5" t="str">
        <f ca="1">IF($E129="","",IFERROR(VLOOKUP($E129,validation!$A$2:$B$24,2,FALSE),""))</f>
        <v/>
      </c>
      <c r="E129" s="5" t="str">
        <f ca="1">IF($D129="","",IFERROR(INDEX(validation!$A$2:$A$24,MATCH($D129,validation!$B$2:$B$24,0)),""))</f>
        <v/>
      </c>
    </row>
    <row r="130" spans="4:5" s="5" customFormat="1" ht="18" customHeight="1" x14ac:dyDescent="0.2">
      <c r="D130" s="5" t="str">
        <f ca="1">IF($E130="","",IFERROR(VLOOKUP($E130,validation!$A$2:$B$24,2,FALSE),""))</f>
        <v/>
      </c>
      <c r="E130" s="5" t="str">
        <f ca="1">IF($D130="","",IFERROR(INDEX(validation!$A$2:$A$24,MATCH($D130,validation!$B$2:$B$24,0)),""))</f>
        <v/>
      </c>
    </row>
    <row r="131" spans="4:5" s="5" customFormat="1" ht="18" customHeight="1" x14ac:dyDescent="0.2">
      <c r="D131" s="5" t="str">
        <f ca="1">IF($E131="","",IFERROR(VLOOKUP($E131,validation!$A$2:$B$24,2,FALSE),""))</f>
        <v/>
      </c>
      <c r="E131" s="5" t="str">
        <f ca="1">IF($D131="","",IFERROR(INDEX(validation!$A$2:$A$24,MATCH($D131,validation!$B$2:$B$24,0)),""))</f>
        <v/>
      </c>
    </row>
    <row r="132" spans="4:5" s="5" customFormat="1" ht="18" customHeight="1" x14ac:dyDescent="0.2">
      <c r="D132" s="5" t="str">
        <f ca="1">IF($E132="","",IFERROR(VLOOKUP($E132,validation!$A$2:$B$24,2,FALSE),""))</f>
        <v/>
      </c>
      <c r="E132" s="5" t="str">
        <f ca="1">IF($D132="","",IFERROR(INDEX(validation!$A$2:$A$24,MATCH($D132,validation!$B$2:$B$24,0)),""))</f>
        <v/>
      </c>
    </row>
    <row r="133" spans="4:5" s="5" customFormat="1" ht="18" customHeight="1" x14ac:dyDescent="0.2">
      <c r="D133" s="5" t="str">
        <f ca="1">IF($E133="","",IFERROR(VLOOKUP($E133,validation!$A$2:$B$24,2,FALSE),""))</f>
        <v/>
      </c>
      <c r="E133" s="5" t="str">
        <f ca="1">IF($D133="","",IFERROR(INDEX(validation!$A$2:$A$24,MATCH($D133,validation!$B$2:$B$24,0)),""))</f>
        <v/>
      </c>
    </row>
    <row r="134" spans="4:5" s="5" customFormat="1" ht="18" customHeight="1" x14ac:dyDescent="0.2">
      <c r="D134" s="5" t="str">
        <f ca="1">IF($E134="","",IFERROR(VLOOKUP($E134,validation!$A$2:$B$24,2,FALSE),""))</f>
        <v/>
      </c>
      <c r="E134" s="5" t="str">
        <f ca="1">IF($D134="","",IFERROR(INDEX(validation!$A$2:$A$24,MATCH($D134,validation!$B$2:$B$24,0)),""))</f>
        <v/>
      </c>
    </row>
    <row r="135" spans="4:5" s="5" customFormat="1" ht="18" customHeight="1" x14ac:dyDescent="0.2">
      <c r="D135" s="5" t="str">
        <f ca="1">IF($E135="","",IFERROR(VLOOKUP($E135,validation!$A$2:$B$24,2,FALSE),""))</f>
        <v/>
      </c>
      <c r="E135" s="5" t="str">
        <f ca="1">IF($D135="","",IFERROR(INDEX(validation!$A$2:$A$24,MATCH($D135,validation!$B$2:$B$24,0)),""))</f>
        <v/>
      </c>
    </row>
    <row r="136" spans="4:5" s="5" customFormat="1" ht="18" customHeight="1" x14ac:dyDescent="0.2">
      <c r="D136" s="5" t="str">
        <f ca="1">IF($E136="","",IFERROR(VLOOKUP($E136,validation!$A$2:$B$24,2,FALSE),""))</f>
        <v/>
      </c>
      <c r="E136" s="5" t="str">
        <f ca="1">IF($D136="","",IFERROR(INDEX(validation!$A$2:$A$24,MATCH($D136,validation!$B$2:$B$24,0)),""))</f>
        <v/>
      </c>
    </row>
    <row r="137" spans="4:5" s="5" customFormat="1" ht="18" customHeight="1" x14ac:dyDescent="0.2">
      <c r="D137" s="5" t="str">
        <f ca="1">IF($E137="","",IFERROR(VLOOKUP($E137,validation!$A$2:$B$24,2,FALSE),""))</f>
        <v/>
      </c>
      <c r="E137" s="5" t="str">
        <f ca="1">IF($D137="","",IFERROR(INDEX(validation!$A$2:$A$24,MATCH($D137,validation!$B$2:$B$24,0)),""))</f>
        <v/>
      </c>
    </row>
    <row r="138" spans="4:5" s="5" customFormat="1" ht="18" customHeight="1" x14ac:dyDescent="0.2">
      <c r="D138" s="5" t="str">
        <f ca="1">IF($E138="","",IFERROR(VLOOKUP($E138,validation!$A$2:$B$24,2,FALSE),""))</f>
        <v/>
      </c>
      <c r="E138" s="5" t="str">
        <f ca="1">IF($D138="","",IFERROR(INDEX(validation!$A$2:$A$24,MATCH($D138,validation!$B$2:$B$24,0)),""))</f>
        <v/>
      </c>
    </row>
    <row r="139" spans="4:5" s="5" customFormat="1" ht="18" customHeight="1" x14ac:dyDescent="0.2">
      <c r="D139" s="5" t="str">
        <f ca="1">IF($E139="","",IFERROR(VLOOKUP($E139,validation!$A$2:$B$24,2,FALSE),""))</f>
        <v/>
      </c>
      <c r="E139" s="5" t="str">
        <f ca="1">IF($D139="","",IFERROR(INDEX(validation!$A$2:$A$24,MATCH($D139,validation!$B$2:$B$24,0)),""))</f>
        <v/>
      </c>
    </row>
    <row r="140" spans="4:5" s="5" customFormat="1" ht="18" customHeight="1" x14ac:dyDescent="0.2">
      <c r="D140" s="5" t="str">
        <f ca="1">IF($E140="","",IFERROR(VLOOKUP($E140,validation!$A$2:$B$24,2,FALSE),""))</f>
        <v/>
      </c>
      <c r="E140" s="5" t="str">
        <f ca="1">IF($D140="","",IFERROR(INDEX(validation!$A$2:$A$24,MATCH($D140,validation!$B$2:$B$24,0)),""))</f>
        <v/>
      </c>
    </row>
    <row r="141" spans="4:5" s="5" customFormat="1" ht="18" customHeight="1" x14ac:dyDescent="0.2">
      <c r="D141" s="5" t="str">
        <f ca="1">IF($E141="","",IFERROR(VLOOKUP($E141,validation!$A$2:$B$24,2,FALSE),""))</f>
        <v/>
      </c>
      <c r="E141" s="5" t="str">
        <f ca="1">IF($D141="","",IFERROR(INDEX(validation!$A$2:$A$24,MATCH($D141,validation!$B$2:$B$24,0)),""))</f>
        <v/>
      </c>
    </row>
    <row r="142" spans="4:5" s="5" customFormat="1" ht="18" customHeight="1" x14ac:dyDescent="0.2">
      <c r="D142" s="5" t="str">
        <f ca="1">IF($E142="","",IFERROR(VLOOKUP($E142,validation!$A$2:$B$24,2,FALSE),""))</f>
        <v/>
      </c>
      <c r="E142" s="5" t="str">
        <f ca="1">IF($D142="","",IFERROR(INDEX(validation!$A$2:$A$24,MATCH($D142,validation!$B$2:$B$24,0)),""))</f>
        <v/>
      </c>
    </row>
    <row r="143" spans="4:5" s="5" customFormat="1" ht="18" customHeight="1" x14ac:dyDescent="0.2">
      <c r="D143" s="5" t="str">
        <f ca="1">IF($E143="","",IFERROR(VLOOKUP($E143,validation!$A$2:$B$24,2,FALSE),""))</f>
        <v/>
      </c>
      <c r="E143" s="5" t="str">
        <f ca="1">IF($D143="","",IFERROR(INDEX(validation!$A$2:$A$24,MATCH($D143,validation!$B$2:$B$24,0)),""))</f>
        <v/>
      </c>
    </row>
    <row r="144" spans="4:5" s="5" customFormat="1" ht="18" customHeight="1" x14ac:dyDescent="0.2">
      <c r="D144" s="5" t="str">
        <f ca="1">IF($E144="","",IFERROR(VLOOKUP($E144,validation!$A$2:$B$24,2,FALSE),""))</f>
        <v/>
      </c>
      <c r="E144" s="5" t="str">
        <f ca="1">IF($D144="","",IFERROR(INDEX(validation!$A$2:$A$24,MATCH($D144,validation!$B$2:$B$24,0)),""))</f>
        <v/>
      </c>
    </row>
    <row r="145" spans="4:5" s="5" customFormat="1" ht="18" customHeight="1" x14ac:dyDescent="0.2">
      <c r="D145" s="5" t="str">
        <f ca="1">IF($E145="","",IFERROR(VLOOKUP($E145,validation!$A$2:$B$24,2,FALSE),""))</f>
        <v/>
      </c>
      <c r="E145" s="5" t="str">
        <f ca="1">IF($D145="","",IFERROR(INDEX(validation!$A$2:$A$24,MATCH($D145,validation!$B$2:$B$24,0)),""))</f>
        <v/>
      </c>
    </row>
    <row r="146" spans="4:5" s="5" customFormat="1" ht="18" customHeight="1" x14ac:dyDescent="0.2">
      <c r="D146" s="5" t="str">
        <f ca="1">IF($E146="","",IFERROR(VLOOKUP($E146,validation!$A$2:$B$24,2,FALSE),""))</f>
        <v/>
      </c>
      <c r="E146" s="5" t="str">
        <f ca="1">IF($D146="","",IFERROR(INDEX(validation!$A$2:$A$24,MATCH($D146,validation!$B$2:$B$24,0)),""))</f>
        <v/>
      </c>
    </row>
    <row r="147" spans="4:5" s="5" customFormat="1" ht="18" customHeight="1" x14ac:dyDescent="0.2">
      <c r="D147" s="5" t="str">
        <f ca="1">IF($E147="","",IFERROR(VLOOKUP($E147,validation!$A$2:$B$24,2,FALSE),""))</f>
        <v/>
      </c>
      <c r="E147" s="5" t="str">
        <f ca="1">IF($D147="","",IFERROR(INDEX(validation!$A$2:$A$24,MATCH($D147,validation!$B$2:$B$24,0)),""))</f>
        <v/>
      </c>
    </row>
    <row r="148" spans="4:5" s="5" customFormat="1" ht="18" customHeight="1" x14ac:dyDescent="0.2">
      <c r="D148" s="5" t="str">
        <f ca="1">IF($E148="","",IFERROR(VLOOKUP($E148,validation!$A$2:$B$24,2,FALSE),""))</f>
        <v/>
      </c>
      <c r="E148" s="5" t="str">
        <f ca="1">IF($D148="","",IFERROR(INDEX(validation!$A$2:$A$24,MATCH($D148,validation!$B$2:$B$24,0)),""))</f>
        <v/>
      </c>
    </row>
    <row r="149" spans="4:5" s="5" customFormat="1" ht="18" customHeight="1" x14ac:dyDescent="0.2">
      <c r="D149" s="5" t="str">
        <f ca="1">IF($E149="","",IFERROR(VLOOKUP($E149,validation!$A$2:$B$24,2,FALSE),""))</f>
        <v/>
      </c>
      <c r="E149" s="5" t="str">
        <f ca="1">IF($D149="","",IFERROR(INDEX(validation!$A$2:$A$24,MATCH($D149,validation!$B$2:$B$24,0)),""))</f>
        <v/>
      </c>
    </row>
    <row r="150" spans="4:5" s="5" customFormat="1" ht="18" customHeight="1" x14ac:dyDescent="0.2">
      <c r="D150" s="5" t="str">
        <f ca="1">IF($E150="","",IFERROR(VLOOKUP($E150,validation!$A$2:$B$24,2,FALSE),""))</f>
        <v/>
      </c>
      <c r="E150" s="5" t="str">
        <f ca="1">IF($D150="","",IFERROR(INDEX(validation!$A$2:$A$24,MATCH($D150,validation!$B$2:$B$24,0)),""))</f>
        <v/>
      </c>
    </row>
    <row r="151" spans="4:5" s="5" customFormat="1" ht="18" customHeight="1" x14ac:dyDescent="0.2">
      <c r="D151" s="5" t="str">
        <f ca="1">IF($E151="","",IFERROR(VLOOKUP($E151,validation!$A$2:$B$24,2,FALSE),""))</f>
        <v/>
      </c>
      <c r="E151" s="5" t="str">
        <f ca="1">IF($D151="","",IFERROR(INDEX(validation!$A$2:$A$24,MATCH($D151,validation!$B$2:$B$24,0)),""))</f>
        <v/>
      </c>
    </row>
    <row r="152" spans="4:5" s="5" customFormat="1" ht="18" customHeight="1" x14ac:dyDescent="0.2">
      <c r="D152" s="5" t="str">
        <f ca="1">IF($E152="","",IFERROR(VLOOKUP($E152,validation!$A$2:$B$24,2,FALSE),""))</f>
        <v/>
      </c>
      <c r="E152" s="5" t="str">
        <f ca="1">IF($D152="","",IFERROR(INDEX(validation!$A$2:$A$24,MATCH($D152,validation!$B$2:$B$24,0)),""))</f>
        <v/>
      </c>
    </row>
    <row r="153" spans="4:5" s="5" customFormat="1" ht="18" customHeight="1" x14ac:dyDescent="0.2">
      <c r="D153" s="5" t="str">
        <f ca="1">IF($E153="","",IFERROR(VLOOKUP($E153,validation!$A$2:$B$24,2,FALSE),""))</f>
        <v/>
      </c>
      <c r="E153" s="5" t="str">
        <f ca="1">IF($D153="","",IFERROR(INDEX(validation!$A$2:$A$24,MATCH($D153,validation!$B$2:$B$24,0)),""))</f>
        <v/>
      </c>
    </row>
    <row r="154" spans="4:5" s="5" customFormat="1" ht="18" customHeight="1" x14ac:dyDescent="0.2">
      <c r="D154" s="5" t="str">
        <f ca="1">IF($E154="","",IFERROR(VLOOKUP($E154,validation!$A$2:$B$24,2,FALSE),""))</f>
        <v/>
      </c>
      <c r="E154" s="5" t="str">
        <f ca="1">IF($D154="","",IFERROR(INDEX(validation!$A$2:$A$24,MATCH($D154,validation!$B$2:$B$24,0)),""))</f>
        <v/>
      </c>
    </row>
    <row r="155" spans="4:5" s="5" customFormat="1" ht="18" customHeight="1" x14ac:dyDescent="0.2">
      <c r="D155" s="5" t="str">
        <f ca="1">IF($E155="","",IFERROR(VLOOKUP($E155,validation!$A$2:$B$24,2,FALSE),""))</f>
        <v/>
      </c>
      <c r="E155" s="5" t="str">
        <f ca="1">IF($D155="","",IFERROR(INDEX(validation!$A$2:$A$24,MATCH($D155,validation!$B$2:$B$24,0)),""))</f>
        <v/>
      </c>
    </row>
    <row r="156" spans="4:5" s="5" customFormat="1" ht="18" customHeight="1" x14ac:dyDescent="0.2">
      <c r="D156" s="5" t="str">
        <f ca="1">IF($E156="","",IFERROR(VLOOKUP($E156,validation!$A$2:$B$24,2,FALSE),""))</f>
        <v/>
      </c>
      <c r="E156" s="5" t="str">
        <f ca="1">IF($D156="","",IFERROR(INDEX(validation!$A$2:$A$24,MATCH($D156,validation!$B$2:$B$24,0)),""))</f>
        <v/>
      </c>
    </row>
    <row r="157" spans="4:5" s="5" customFormat="1" ht="18" customHeight="1" x14ac:dyDescent="0.2">
      <c r="D157" s="5" t="str">
        <f ca="1">IF($E157="","",IFERROR(VLOOKUP($E157,validation!$A$2:$B$24,2,FALSE),""))</f>
        <v/>
      </c>
      <c r="E157" s="5" t="str">
        <f ca="1">IF($D157="","",IFERROR(INDEX(validation!$A$2:$A$24,MATCH($D157,validation!$B$2:$B$24,0)),""))</f>
        <v/>
      </c>
    </row>
    <row r="158" spans="4:5" s="5" customFormat="1" ht="18" customHeight="1" x14ac:dyDescent="0.2">
      <c r="D158" s="5" t="str">
        <f ca="1">IF($E158="","",IFERROR(VLOOKUP($E158,validation!$A$2:$B$24,2,FALSE),""))</f>
        <v/>
      </c>
      <c r="E158" s="5" t="str">
        <f ca="1">IF($D158="","",IFERROR(INDEX(validation!$A$2:$A$24,MATCH($D158,validation!$B$2:$B$24,0)),""))</f>
        <v/>
      </c>
    </row>
    <row r="159" spans="4:5" s="5" customFormat="1" ht="18" customHeight="1" x14ac:dyDescent="0.2">
      <c r="D159" s="5" t="str">
        <f ca="1">IF($E159="","",IFERROR(VLOOKUP($E159,validation!$A$2:$B$24,2,FALSE),""))</f>
        <v/>
      </c>
      <c r="E159" s="5" t="str">
        <f ca="1">IF($D159="","",IFERROR(INDEX(validation!$A$2:$A$24,MATCH($D159,validation!$B$2:$B$24,0)),""))</f>
        <v/>
      </c>
    </row>
    <row r="160" spans="4:5" s="5" customFormat="1" ht="18" customHeight="1" x14ac:dyDescent="0.2">
      <c r="D160" s="5" t="str">
        <f ca="1">IF($E160="","",IFERROR(VLOOKUP($E160,validation!$A$2:$B$24,2,FALSE),""))</f>
        <v/>
      </c>
      <c r="E160" s="5" t="str">
        <f ca="1">IF($D160="","",IFERROR(INDEX(validation!$A$2:$A$24,MATCH($D160,validation!$B$2:$B$24,0)),""))</f>
        <v/>
      </c>
    </row>
    <row r="161" spans="4:5" s="5" customFormat="1" ht="18" customHeight="1" x14ac:dyDescent="0.2">
      <c r="D161" s="5" t="str">
        <f ca="1">IF($E161="","",IFERROR(VLOOKUP($E161,validation!$A$2:$B$24,2,FALSE),""))</f>
        <v/>
      </c>
      <c r="E161" s="5" t="str">
        <f ca="1">IF($D161="","",IFERROR(INDEX(validation!$A$2:$A$24,MATCH($D161,validation!$B$2:$B$24,0)),""))</f>
        <v/>
      </c>
    </row>
    <row r="162" spans="4:5" s="5" customFormat="1" ht="18" customHeight="1" x14ac:dyDescent="0.2">
      <c r="D162" s="5" t="str">
        <f ca="1">IF($E162="","",IFERROR(VLOOKUP($E162,validation!$A$2:$B$24,2,FALSE),""))</f>
        <v/>
      </c>
      <c r="E162" s="5" t="str">
        <f ca="1">IF($D162="","",IFERROR(INDEX(validation!$A$2:$A$24,MATCH($D162,validation!$B$2:$B$24,0)),""))</f>
        <v/>
      </c>
    </row>
    <row r="163" spans="4:5" s="5" customFormat="1" ht="18" customHeight="1" x14ac:dyDescent="0.2">
      <c r="D163" s="5" t="str">
        <f ca="1">IF($E163="","",IFERROR(VLOOKUP($E163,validation!$A$2:$B$24,2,FALSE),""))</f>
        <v/>
      </c>
      <c r="E163" s="5" t="str">
        <f ca="1">IF($D163="","",IFERROR(INDEX(validation!$A$2:$A$24,MATCH($D163,validation!$B$2:$B$24,0)),""))</f>
        <v/>
      </c>
    </row>
    <row r="164" spans="4:5" s="5" customFormat="1" ht="18" customHeight="1" x14ac:dyDescent="0.2">
      <c r="D164" s="5" t="str">
        <f ca="1">IF($E164="","",IFERROR(VLOOKUP($E164,validation!$A$2:$B$24,2,FALSE),""))</f>
        <v/>
      </c>
      <c r="E164" s="5" t="str">
        <f ca="1">IF($D164="","",IFERROR(INDEX(validation!$A$2:$A$24,MATCH($D164,validation!$B$2:$B$24,0)),""))</f>
        <v/>
      </c>
    </row>
    <row r="165" spans="4:5" s="5" customFormat="1" ht="18" customHeight="1" x14ac:dyDescent="0.2">
      <c r="D165" s="5" t="str">
        <f ca="1">IF($E165="","",IFERROR(VLOOKUP($E165,validation!$A$2:$B$24,2,FALSE),""))</f>
        <v/>
      </c>
      <c r="E165" s="5" t="str">
        <f ca="1">IF($D165="","",IFERROR(INDEX(validation!$A$2:$A$24,MATCH($D165,validation!$B$2:$B$24,0)),""))</f>
        <v/>
      </c>
    </row>
    <row r="166" spans="4:5" s="5" customFormat="1" ht="18" customHeight="1" x14ac:dyDescent="0.2">
      <c r="D166" s="5" t="str">
        <f ca="1">IF($E166="","",IFERROR(VLOOKUP($E166,validation!$A$2:$B$24,2,FALSE),""))</f>
        <v/>
      </c>
      <c r="E166" s="5" t="str">
        <f ca="1">IF($D166="","",IFERROR(INDEX(validation!$A$2:$A$24,MATCH($D166,validation!$B$2:$B$24,0)),""))</f>
        <v/>
      </c>
    </row>
    <row r="167" spans="4:5" s="5" customFormat="1" ht="18" customHeight="1" x14ac:dyDescent="0.2">
      <c r="D167" s="5" t="str">
        <f ca="1">IF($E167="","",IFERROR(VLOOKUP($E167,validation!$A$2:$B$24,2,FALSE),""))</f>
        <v/>
      </c>
      <c r="E167" s="5" t="str">
        <f ca="1">IF($D167="","",IFERROR(INDEX(validation!$A$2:$A$24,MATCH($D167,validation!$B$2:$B$24,0)),""))</f>
        <v/>
      </c>
    </row>
    <row r="168" spans="4:5" s="5" customFormat="1" ht="18" customHeight="1" x14ac:dyDescent="0.2">
      <c r="D168" s="5" t="str">
        <f ca="1">IF($E168="","",IFERROR(VLOOKUP($E168,validation!$A$2:$B$24,2,FALSE),""))</f>
        <v/>
      </c>
      <c r="E168" s="5" t="str">
        <f ca="1">IF($D168="","",IFERROR(INDEX(validation!$A$2:$A$24,MATCH($D168,validation!$B$2:$B$24,0)),""))</f>
        <v/>
      </c>
    </row>
    <row r="169" spans="4:5" s="5" customFormat="1" ht="18" customHeight="1" x14ac:dyDescent="0.2">
      <c r="D169" s="5" t="str">
        <f ca="1">IF($E169="","",IFERROR(VLOOKUP($E169,validation!$A$2:$B$24,2,FALSE),""))</f>
        <v/>
      </c>
      <c r="E169" s="5" t="str">
        <f ca="1">IF($D169="","",IFERROR(INDEX(validation!$A$2:$A$24,MATCH($D169,validation!$B$2:$B$24,0)),""))</f>
        <v/>
      </c>
    </row>
    <row r="170" spans="4:5" s="5" customFormat="1" ht="18" customHeight="1" x14ac:dyDescent="0.2">
      <c r="D170" s="5" t="str">
        <f ca="1">IF($E170="","",IFERROR(VLOOKUP($E170,validation!$A$2:$B$24,2,FALSE),""))</f>
        <v/>
      </c>
      <c r="E170" s="5" t="str">
        <f ca="1">IF($D170="","",IFERROR(INDEX(validation!$A$2:$A$24,MATCH($D170,validation!$B$2:$B$24,0)),""))</f>
        <v/>
      </c>
    </row>
    <row r="171" spans="4:5" s="5" customFormat="1" ht="18" customHeight="1" x14ac:dyDescent="0.2">
      <c r="D171" s="5" t="str">
        <f ca="1">IF($E171="","",IFERROR(VLOOKUP($E171,validation!$A$2:$B$24,2,FALSE),""))</f>
        <v/>
      </c>
      <c r="E171" s="5" t="str">
        <f ca="1">IF($D171="","",IFERROR(INDEX(validation!$A$2:$A$24,MATCH($D171,validation!$B$2:$B$24,0)),""))</f>
        <v/>
      </c>
    </row>
    <row r="172" spans="4:5" s="5" customFormat="1" ht="18" customHeight="1" x14ac:dyDescent="0.2">
      <c r="D172" s="5" t="str">
        <f ca="1">IF($E172="","",IFERROR(VLOOKUP($E172,validation!$A$2:$B$24,2,FALSE),""))</f>
        <v/>
      </c>
      <c r="E172" s="5" t="str">
        <f ca="1">IF($D172="","",IFERROR(INDEX(validation!$A$2:$A$24,MATCH($D172,validation!$B$2:$B$24,0)),""))</f>
        <v/>
      </c>
    </row>
    <row r="173" spans="4:5" s="5" customFormat="1" ht="18" customHeight="1" x14ac:dyDescent="0.2">
      <c r="D173" s="5" t="str">
        <f ca="1">IF($E173="","",IFERROR(VLOOKUP($E173,validation!$A$2:$B$24,2,FALSE),""))</f>
        <v/>
      </c>
      <c r="E173" s="5" t="str">
        <f ca="1">IF($D173="","",IFERROR(INDEX(validation!$A$2:$A$24,MATCH($D173,validation!$B$2:$B$24,0)),""))</f>
        <v/>
      </c>
    </row>
    <row r="174" spans="4:5" s="5" customFormat="1" ht="18" customHeight="1" x14ac:dyDescent="0.2">
      <c r="D174" s="5" t="str">
        <f ca="1">IF($E174="","",IFERROR(VLOOKUP($E174,validation!$A$2:$B$24,2,FALSE),""))</f>
        <v/>
      </c>
      <c r="E174" s="5" t="str">
        <f ca="1">IF($D174="","",IFERROR(INDEX(validation!$A$2:$A$24,MATCH($D174,validation!$B$2:$B$24,0)),""))</f>
        <v/>
      </c>
    </row>
    <row r="175" spans="4:5" s="5" customFormat="1" ht="18" customHeight="1" x14ac:dyDescent="0.2">
      <c r="D175" s="5" t="str">
        <f ca="1">IF($E175="","",IFERROR(VLOOKUP($E175,validation!$A$2:$B$24,2,FALSE),""))</f>
        <v/>
      </c>
      <c r="E175" s="5" t="str">
        <f ca="1">IF($D175="","",IFERROR(INDEX(validation!$A$2:$A$24,MATCH($D175,validation!$B$2:$B$24,0)),""))</f>
        <v/>
      </c>
    </row>
    <row r="176" spans="4:5" s="5" customFormat="1" ht="18" customHeight="1" x14ac:dyDescent="0.2">
      <c r="D176" s="5" t="str">
        <f ca="1">IF($E176="","",IFERROR(VLOOKUP($E176,validation!$A$2:$B$24,2,FALSE),""))</f>
        <v/>
      </c>
      <c r="E176" s="5" t="str">
        <f ca="1">IF($D176="","",IFERROR(INDEX(validation!$A$2:$A$24,MATCH($D176,validation!$B$2:$B$24,0)),""))</f>
        <v/>
      </c>
    </row>
    <row r="177" spans="4:5" s="5" customFormat="1" ht="18" customHeight="1" x14ac:dyDescent="0.2">
      <c r="D177" s="5" t="str">
        <f ca="1">IF($E177="","",IFERROR(VLOOKUP($E177,validation!$A$2:$B$24,2,FALSE),""))</f>
        <v/>
      </c>
      <c r="E177" s="5" t="str">
        <f ca="1">IF($D177="","",IFERROR(INDEX(validation!$A$2:$A$24,MATCH($D177,validation!$B$2:$B$24,0)),""))</f>
        <v/>
      </c>
    </row>
    <row r="178" spans="4:5" s="5" customFormat="1" ht="18" customHeight="1" x14ac:dyDescent="0.2">
      <c r="D178" s="5" t="str">
        <f ca="1">IF($E178="","",IFERROR(VLOOKUP($E178,validation!$A$2:$B$24,2,FALSE),""))</f>
        <v/>
      </c>
      <c r="E178" s="5" t="str">
        <f ca="1">IF($D178="","",IFERROR(INDEX(validation!$A$2:$A$24,MATCH($D178,validation!$B$2:$B$24,0)),""))</f>
        <v/>
      </c>
    </row>
    <row r="179" spans="4:5" s="5" customFormat="1" ht="18" customHeight="1" x14ac:dyDescent="0.2">
      <c r="D179" s="5" t="str">
        <f ca="1">IF($E179="","",IFERROR(VLOOKUP($E179,validation!$A$2:$B$24,2,FALSE),""))</f>
        <v/>
      </c>
      <c r="E179" s="5" t="str">
        <f ca="1">IF($D179="","",IFERROR(INDEX(validation!$A$2:$A$24,MATCH($D179,validation!$B$2:$B$24,0)),""))</f>
        <v/>
      </c>
    </row>
    <row r="180" spans="4:5" s="5" customFormat="1" ht="18" customHeight="1" x14ac:dyDescent="0.2">
      <c r="D180" s="5" t="str">
        <f ca="1">IF($E180="","",IFERROR(VLOOKUP($E180,validation!$A$2:$B$24,2,FALSE),""))</f>
        <v/>
      </c>
      <c r="E180" s="5" t="str">
        <f ca="1">IF($D180="","",IFERROR(INDEX(validation!$A$2:$A$24,MATCH($D180,validation!$B$2:$B$24,0)),""))</f>
        <v/>
      </c>
    </row>
    <row r="181" spans="4:5" s="5" customFormat="1" ht="18" customHeight="1" x14ac:dyDescent="0.2">
      <c r="D181" s="5" t="str">
        <f ca="1">IF($E181="","",IFERROR(VLOOKUP($E181,validation!$A$2:$B$24,2,FALSE),""))</f>
        <v/>
      </c>
      <c r="E181" s="5" t="str">
        <f ca="1">IF($D181="","",IFERROR(INDEX(validation!$A$2:$A$24,MATCH($D181,validation!$B$2:$B$24,0)),""))</f>
        <v/>
      </c>
    </row>
    <row r="182" spans="4:5" s="5" customFormat="1" ht="18" customHeight="1" x14ac:dyDescent="0.2">
      <c r="D182" s="5" t="str">
        <f ca="1">IF($E182="","",IFERROR(VLOOKUP($E182,validation!$A$2:$B$24,2,FALSE),""))</f>
        <v/>
      </c>
      <c r="E182" s="5" t="str">
        <f ca="1">IF($D182="","",IFERROR(INDEX(validation!$A$2:$A$24,MATCH($D182,validation!$B$2:$B$24,0)),""))</f>
        <v/>
      </c>
    </row>
    <row r="183" spans="4:5" s="5" customFormat="1" ht="18" customHeight="1" x14ac:dyDescent="0.2">
      <c r="D183" s="5" t="str">
        <f ca="1">IF($E183="","",IFERROR(VLOOKUP($E183,validation!$A$2:$B$24,2,FALSE),""))</f>
        <v/>
      </c>
      <c r="E183" s="5" t="str">
        <f ca="1">IF($D183="","",IFERROR(INDEX(validation!$A$2:$A$24,MATCH($D183,validation!$B$2:$B$24,0)),""))</f>
        <v/>
      </c>
    </row>
    <row r="184" spans="4:5" s="5" customFormat="1" ht="18" customHeight="1" x14ac:dyDescent="0.2">
      <c r="D184" s="5" t="str">
        <f ca="1">IF($E184="","",IFERROR(VLOOKUP($E184,validation!$A$2:$B$24,2,FALSE),""))</f>
        <v/>
      </c>
      <c r="E184" s="5" t="str">
        <f ca="1">IF($D184="","",IFERROR(INDEX(validation!$A$2:$A$24,MATCH($D184,validation!$B$2:$B$24,0)),""))</f>
        <v/>
      </c>
    </row>
    <row r="185" spans="4:5" s="5" customFormat="1" ht="18" customHeight="1" x14ac:dyDescent="0.2">
      <c r="D185" s="5" t="str">
        <f ca="1">IF($E185="","",IFERROR(VLOOKUP($E185,validation!$A$2:$B$24,2,FALSE),""))</f>
        <v/>
      </c>
      <c r="E185" s="5" t="str">
        <f ca="1">IF($D185="","",IFERROR(INDEX(validation!$A$2:$A$24,MATCH($D185,validation!$B$2:$B$24,0)),""))</f>
        <v/>
      </c>
    </row>
    <row r="186" spans="4:5" s="5" customFormat="1" ht="18" customHeight="1" x14ac:dyDescent="0.2">
      <c r="D186" s="5" t="str">
        <f ca="1">IF($E186="","",IFERROR(VLOOKUP($E186,validation!$A$2:$B$24,2,FALSE),""))</f>
        <v/>
      </c>
      <c r="E186" s="5" t="str">
        <f ca="1">IF($D186="","",IFERROR(INDEX(validation!$A$2:$A$24,MATCH($D186,validation!$B$2:$B$24,0)),""))</f>
        <v/>
      </c>
    </row>
    <row r="187" spans="4:5" s="5" customFormat="1" ht="18" customHeight="1" x14ac:dyDescent="0.2">
      <c r="D187" s="5" t="str">
        <f ca="1">IF($E187="","",IFERROR(VLOOKUP($E187,validation!$A$2:$B$24,2,FALSE),""))</f>
        <v/>
      </c>
      <c r="E187" s="5" t="str">
        <f ca="1">IF($D187="","",IFERROR(INDEX(validation!$A$2:$A$24,MATCH($D187,validation!$B$2:$B$24,0)),""))</f>
        <v/>
      </c>
    </row>
    <row r="188" spans="4:5" s="5" customFormat="1" ht="18" customHeight="1" x14ac:dyDescent="0.2">
      <c r="D188" s="5" t="str">
        <f ca="1">IF($E188="","",IFERROR(VLOOKUP($E188,validation!$A$2:$B$24,2,FALSE),""))</f>
        <v/>
      </c>
      <c r="E188" s="5" t="str">
        <f ca="1">IF($D188="","",IFERROR(INDEX(validation!$A$2:$A$24,MATCH($D188,validation!$B$2:$B$24,0)),""))</f>
        <v/>
      </c>
    </row>
    <row r="189" spans="4:5" s="5" customFormat="1" ht="18" customHeight="1" x14ac:dyDescent="0.2">
      <c r="D189" s="5" t="str">
        <f ca="1">IF($E189="","",IFERROR(VLOOKUP($E189,validation!$A$2:$B$24,2,FALSE),""))</f>
        <v/>
      </c>
      <c r="E189" s="5" t="str">
        <f ca="1">IF($D189="","",IFERROR(INDEX(validation!$A$2:$A$24,MATCH($D189,validation!$B$2:$B$24,0)),""))</f>
        <v/>
      </c>
    </row>
    <row r="190" spans="4:5" s="5" customFormat="1" ht="18" customHeight="1" x14ac:dyDescent="0.2">
      <c r="D190" s="5" t="str">
        <f ca="1">IF($E190="","",IFERROR(VLOOKUP($E190,validation!$A$2:$B$24,2,FALSE),""))</f>
        <v/>
      </c>
      <c r="E190" s="5" t="str">
        <f ca="1">IF($D190="","",IFERROR(INDEX(validation!$A$2:$A$24,MATCH($D190,validation!$B$2:$B$24,0)),""))</f>
        <v/>
      </c>
    </row>
    <row r="191" spans="4:5" s="5" customFormat="1" ht="18" customHeight="1" x14ac:dyDescent="0.2">
      <c r="D191" s="5" t="str">
        <f ca="1">IF($E191="","",IFERROR(VLOOKUP($E191,validation!$A$2:$B$24,2,FALSE),""))</f>
        <v/>
      </c>
      <c r="E191" s="5" t="str">
        <f ca="1">IF($D191="","",IFERROR(INDEX(validation!$A$2:$A$24,MATCH($D191,validation!$B$2:$B$24,0)),""))</f>
        <v/>
      </c>
    </row>
    <row r="192" spans="4:5" s="5" customFormat="1" ht="18" customHeight="1" x14ac:dyDescent="0.2">
      <c r="D192" s="5" t="str">
        <f ca="1">IF($E192="","",IFERROR(VLOOKUP($E192,validation!$A$2:$B$24,2,FALSE),""))</f>
        <v/>
      </c>
      <c r="E192" s="5" t="str">
        <f ca="1">IF($D192="","",IFERROR(INDEX(validation!$A$2:$A$24,MATCH($D192,validation!$B$2:$B$24,0)),""))</f>
        <v/>
      </c>
    </row>
    <row r="193" spans="4:5" s="5" customFormat="1" ht="18" customHeight="1" x14ac:dyDescent="0.2">
      <c r="D193" s="5" t="str">
        <f ca="1">IF($E193="","",IFERROR(VLOOKUP($E193,validation!$A$2:$B$24,2,FALSE),""))</f>
        <v/>
      </c>
      <c r="E193" s="5" t="str">
        <f ca="1">IF($D193="","",IFERROR(INDEX(validation!$A$2:$A$24,MATCH($D193,validation!$B$2:$B$24,0)),""))</f>
        <v/>
      </c>
    </row>
    <row r="194" spans="4:5" s="5" customFormat="1" ht="18" customHeight="1" x14ac:dyDescent="0.2">
      <c r="D194" s="5" t="str">
        <f ca="1">IF($E194="","",IFERROR(VLOOKUP($E194,validation!$A$2:$B$24,2,FALSE),""))</f>
        <v/>
      </c>
      <c r="E194" s="5" t="str">
        <f ca="1">IF($D194="","",IFERROR(INDEX(validation!$A$2:$A$24,MATCH($D194,validation!$B$2:$B$24,0)),""))</f>
        <v/>
      </c>
    </row>
    <row r="195" spans="4:5" s="5" customFormat="1" ht="18" customHeight="1" x14ac:dyDescent="0.2">
      <c r="D195" s="5" t="str">
        <f ca="1">IF($E195="","",IFERROR(VLOOKUP($E195,validation!$A$2:$B$24,2,FALSE),""))</f>
        <v/>
      </c>
      <c r="E195" s="5" t="str">
        <f ca="1">IF($D195="","",IFERROR(INDEX(validation!$A$2:$A$24,MATCH($D195,validation!$B$2:$B$24,0)),""))</f>
        <v/>
      </c>
    </row>
    <row r="196" spans="4:5" s="5" customFormat="1" ht="18" customHeight="1" x14ac:dyDescent="0.2">
      <c r="D196" s="5" t="str">
        <f ca="1">IF($E196="","",IFERROR(VLOOKUP($E196,validation!$A$2:$B$24,2,FALSE),""))</f>
        <v/>
      </c>
      <c r="E196" s="5" t="str">
        <f ca="1">IF($D196="","",IFERROR(INDEX(validation!$A$2:$A$24,MATCH($D196,validation!$B$2:$B$24,0)),""))</f>
        <v/>
      </c>
    </row>
    <row r="197" spans="4:5" s="5" customFormat="1" ht="18" customHeight="1" x14ac:dyDescent="0.2">
      <c r="D197" s="5" t="str">
        <f ca="1">IF($E197="","",IFERROR(VLOOKUP($E197,validation!$A$2:$B$24,2,FALSE),""))</f>
        <v/>
      </c>
      <c r="E197" s="5" t="str">
        <f ca="1">IF($D197="","",IFERROR(INDEX(validation!$A$2:$A$24,MATCH($D197,validation!$B$2:$B$24,0)),""))</f>
        <v/>
      </c>
    </row>
    <row r="198" spans="4:5" s="5" customFormat="1" ht="18" customHeight="1" x14ac:dyDescent="0.2">
      <c r="D198" s="5" t="str">
        <f ca="1">IF($E198="","",IFERROR(VLOOKUP($E198,validation!$A$2:$B$24,2,FALSE),""))</f>
        <v/>
      </c>
      <c r="E198" s="5" t="str">
        <f ca="1">IF($D198="","",IFERROR(INDEX(validation!$A$2:$A$24,MATCH($D198,validation!$B$2:$B$24,0)),""))</f>
        <v/>
      </c>
    </row>
    <row r="199" spans="4:5" s="5" customFormat="1" ht="18" customHeight="1" x14ac:dyDescent="0.2">
      <c r="D199" s="5" t="str">
        <f ca="1">IF($E199="","",IFERROR(VLOOKUP($E199,validation!$A$2:$B$24,2,FALSE),""))</f>
        <v/>
      </c>
      <c r="E199" s="5" t="str">
        <f ca="1">IF($D199="","",IFERROR(INDEX(validation!$A$2:$A$24,MATCH($D199,validation!$B$2:$B$24,0)),""))</f>
        <v/>
      </c>
    </row>
    <row r="200" spans="4:5" s="5" customFormat="1" ht="18" customHeight="1" x14ac:dyDescent="0.2">
      <c r="D200" s="5" t="str">
        <f ca="1">IF($E200="","",IFERROR(VLOOKUP($E200,validation!$A$2:$B$24,2,FALSE),""))</f>
        <v/>
      </c>
      <c r="E200" s="5" t="str">
        <f ca="1">IF($D200="","",IFERROR(INDEX(validation!$A$2:$A$24,MATCH($D200,validation!$B$2:$B$24,0)),""))</f>
        <v/>
      </c>
    </row>
    <row r="201" spans="4:5" s="5" customFormat="1" ht="18" customHeight="1" x14ac:dyDescent="0.2">
      <c r="D201" s="5" t="str">
        <f ca="1">IF($E201="","",IFERROR(VLOOKUP($E201,validation!$A$2:$B$24,2,FALSE),""))</f>
        <v/>
      </c>
      <c r="E201" s="5" t="str">
        <f ca="1">IF($D201="","",IFERROR(INDEX(validation!$A$2:$A$24,MATCH($D201,validation!$B$2:$B$24,0)),""))</f>
        <v/>
      </c>
    </row>
    <row r="202" spans="4:5" s="5" customFormat="1" ht="18" customHeight="1" x14ac:dyDescent="0.2">
      <c r="D202" s="5" t="str">
        <f ca="1">IF($E202="","",IFERROR(VLOOKUP($E202,validation!$A$2:$B$24,2,FALSE),""))</f>
        <v/>
      </c>
      <c r="E202" s="5" t="str">
        <f ca="1">IF($D202="","",IFERROR(INDEX(validation!$A$2:$A$24,MATCH($D202,validation!$B$2:$B$24,0)),""))</f>
        <v/>
      </c>
    </row>
    <row r="203" spans="4:5" s="5" customFormat="1" ht="18" customHeight="1" x14ac:dyDescent="0.2">
      <c r="D203" s="5" t="str">
        <f ca="1">IF($E203="","",IFERROR(VLOOKUP($E203,validation!$A$2:$B$24,2,FALSE),""))</f>
        <v/>
      </c>
      <c r="E203" s="5" t="str">
        <f ca="1">IF($D203="","",IFERROR(INDEX(validation!$A$2:$A$24,MATCH($D203,validation!$B$2:$B$24,0)),""))</f>
        <v/>
      </c>
    </row>
    <row r="204" spans="4:5" s="5" customFormat="1" ht="18" customHeight="1" x14ac:dyDescent="0.2">
      <c r="D204" s="5" t="str">
        <f ca="1">IF($E204="","",IFERROR(VLOOKUP($E204,validation!$A$2:$B$24,2,FALSE),""))</f>
        <v/>
      </c>
      <c r="E204" s="5" t="str">
        <f ca="1">IF($D204="","",IFERROR(INDEX(validation!$A$2:$A$24,MATCH($D204,validation!$B$2:$B$24,0)),""))</f>
        <v/>
      </c>
    </row>
    <row r="205" spans="4:5" s="5" customFormat="1" ht="18" customHeight="1" x14ac:dyDescent="0.2">
      <c r="D205" s="5" t="str">
        <f ca="1">IF($E205="","",IFERROR(VLOOKUP($E205,validation!$A$2:$B$24,2,FALSE),""))</f>
        <v/>
      </c>
      <c r="E205" s="5" t="str">
        <f ca="1">IF($D205="","",IFERROR(INDEX(validation!$A$2:$A$24,MATCH($D205,validation!$B$2:$B$24,0)),""))</f>
        <v/>
      </c>
    </row>
    <row r="206" spans="4:5" s="5" customFormat="1" ht="18" customHeight="1" x14ac:dyDescent="0.2">
      <c r="D206" s="5" t="str">
        <f ca="1">IF($E206="","",IFERROR(VLOOKUP($E206,validation!$A$2:$B$24,2,FALSE),""))</f>
        <v/>
      </c>
      <c r="E206" s="5" t="str">
        <f ca="1">IF($D206="","",IFERROR(INDEX(validation!$A$2:$A$24,MATCH($D206,validation!$B$2:$B$24,0)),""))</f>
        <v/>
      </c>
    </row>
    <row r="207" spans="4:5" s="5" customFormat="1" ht="18" customHeight="1" x14ac:dyDescent="0.2">
      <c r="D207" s="5" t="str">
        <f ca="1">IF($E207="","",IFERROR(VLOOKUP($E207,validation!$A$2:$B$24,2,FALSE),""))</f>
        <v/>
      </c>
      <c r="E207" s="5" t="str">
        <f ca="1">IF($D207="","",IFERROR(INDEX(validation!$A$2:$A$24,MATCH($D207,validation!$B$2:$B$24,0)),""))</f>
        <v/>
      </c>
    </row>
    <row r="208" spans="4:5" s="5" customFormat="1" ht="18" customHeight="1" x14ac:dyDescent="0.2">
      <c r="D208" s="5" t="str">
        <f ca="1">IF($E208="","",IFERROR(VLOOKUP($E208,validation!$A$2:$B$24,2,FALSE),""))</f>
        <v/>
      </c>
      <c r="E208" s="5" t="str">
        <f ca="1">IF($D208="","",IFERROR(INDEX(validation!$A$2:$A$24,MATCH($D208,validation!$B$2:$B$24,0)),""))</f>
        <v/>
      </c>
    </row>
  </sheetData>
  <dataValidations count="1">
    <dataValidation type="list" allowBlank="1" showInputMessage="1" showErrorMessage="1" sqref="F49:F208 F36:F40 F42:F45 F4:F7 F9:F29" xr:uid="{00000000-0002-0000-0200-000000000000}">
      <formula1>"variant-centric,gene-centric"</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4"/>
  <sheetViews>
    <sheetView workbookViewId="0"/>
  </sheetViews>
  <sheetFormatPr baseColWidth="10" defaultColWidth="8.83203125" defaultRowHeight="15" x14ac:dyDescent="0.2"/>
  <sheetData>
    <row r="1" spans="1:2" x14ac:dyDescent="0.2">
      <c r="A1" t="s">
        <v>71</v>
      </c>
      <c r="B1" t="s">
        <v>70</v>
      </c>
    </row>
    <row r="2" spans="1:2" x14ac:dyDescent="0.2">
      <c r="A2" t="s">
        <v>117</v>
      </c>
      <c r="B2" t="s">
        <v>118</v>
      </c>
    </row>
    <row r="3" spans="1:2" x14ac:dyDescent="0.2">
      <c r="A3" t="s">
        <v>119</v>
      </c>
      <c r="B3" t="s">
        <v>120</v>
      </c>
    </row>
    <row r="4" spans="1:2" x14ac:dyDescent="0.2">
      <c r="A4" t="s">
        <v>121</v>
      </c>
      <c r="B4" t="s">
        <v>122</v>
      </c>
    </row>
    <row r="5" spans="1:2" x14ac:dyDescent="0.2">
      <c r="A5" t="s">
        <v>123</v>
      </c>
      <c r="B5" t="s">
        <v>114</v>
      </c>
    </row>
    <row r="6" spans="1:2" x14ac:dyDescent="0.2">
      <c r="A6" t="s">
        <v>124</v>
      </c>
      <c r="B6" t="s">
        <v>125</v>
      </c>
    </row>
    <row r="7" spans="1:2" x14ac:dyDescent="0.2">
      <c r="A7" t="s">
        <v>126</v>
      </c>
      <c r="B7" t="s">
        <v>127</v>
      </c>
    </row>
    <row r="8" spans="1:2" x14ac:dyDescent="0.2">
      <c r="A8" t="s">
        <v>128</v>
      </c>
      <c r="B8" t="s">
        <v>89</v>
      </c>
    </row>
    <row r="9" spans="1:2" x14ac:dyDescent="0.2">
      <c r="A9" t="s">
        <v>129</v>
      </c>
      <c r="B9" t="s">
        <v>97</v>
      </c>
    </row>
    <row r="10" spans="1:2" x14ac:dyDescent="0.2">
      <c r="A10" t="s">
        <v>130</v>
      </c>
      <c r="B10" t="s">
        <v>105</v>
      </c>
    </row>
    <row r="11" spans="1:2" x14ac:dyDescent="0.2">
      <c r="A11" t="s">
        <v>131</v>
      </c>
      <c r="B11" t="s">
        <v>87</v>
      </c>
    </row>
    <row r="12" spans="1:2" x14ac:dyDescent="0.2">
      <c r="A12" t="s">
        <v>132</v>
      </c>
      <c r="B12" t="s">
        <v>133</v>
      </c>
    </row>
    <row r="13" spans="1:2" x14ac:dyDescent="0.2">
      <c r="A13" t="s">
        <v>134</v>
      </c>
      <c r="B13" t="s">
        <v>135</v>
      </c>
    </row>
    <row r="14" spans="1:2" x14ac:dyDescent="0.2">
      <c r="A14" t="s">
        <v>136</v>
      </c>
      <c r="B14" t="s">
        <v>137</v>
      </c>
    </row>
    <row r="15" spans="1:2" x14ac:dyDescent="0.2">
      <c r="A15" t="s">
        <v>138</v>
      </c>
      <c r="B15" t="s">
        <v>139</v>
      </c>
    </row>
    <row r="16" spans="1:2" x14ac:dyDescent="0.2">
      <c r="A16" t="s">
        <v>140</v>
      </c>
      <c r="B16" t="s">
        <v>141</v>
      </c>
    </row>
    <row r="17" spans="1:2" x14ac:dyDescent="0.2">
      <c r="A17" t="s">
        <v>142</v>
      </c>
      <c r="B17" t="s">
        <v>109</v>
      </c>
    </row>
    <row r="18" spans="1:2" x14ac:dyDescent="0.2">
      <c r="A18" t="s">
        <v>143</v>
      </c>
      <c r="B18" t="s">
        <v>102</v>
      </c>
    </row>
    <row r="19" spans="1:2" x14ac:dyDescent="0.2">
      <c r="A19" t="s">
        <v>144</v>
      </c>
      <c r="B19" t="s">
        <v>145</v>
      </c>
    </row>
    <row r="20" spans="1:2" x14ac:dyDescent="0.2">
      <c r="A20" t="s">
        <v>91</v>
      </c>
      <c r="B20" t="s">
        <v>93</v>
      </c>
    </row>
    <row r="21" spans="1:2" x14ac:dyDescent="0.2">
      <c r="A21" t="s">
        <v>81</v>
      </c>
      <c r="B21" t="s">
        <v>80</v>
      </c>
    </row>
    <row r="22" spans="1:2" x14ac:dyDescent="0.2">
      <c r="A22" t="s">
        <v>146</v>
      </c>
      <c r="B22" t="s">
        <v>147</v>
      </c>
    </row>
    <row r="23" spans="1:2" x14ac:dyDescent="0.2">
      <c r="A23" t="s">
        <v>148</v>
      </c>
      <c r="B23" t="s">
        <v>149</v>
      </c>
    </row>
    <row r="24" spans="1:2" x14ac:dyDescent="0.2">
      <c r="A24" t="s">
        <v>150</v>
      </c>
      <c r="B24" t="s">
        <v>151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6"/>
  <sheetViews>
    <sheetView workbookViewId="0">
      <pane ySplit="3" topLeftCell="A4" activePane="bottomLeft" state="frozen"/>
      <selection pane="bottomLeft" activeCell="F16" sqref="F16"/>
    </sheetView>
  </sheetViews>
  <sheetFormatPr baseColWidth="10" defaultColWidth="8.83203125" defaultRowHeight="15" x14ac:dyDescent="0.2"/>
  <cols>
    <col min="1" max="1" width="22.6640625" customWidth="1"/>
    <col min="2" max="2" width="15.6640625" customWidth="1"/>
    <col min="3" max="3" width="20.6640625" customWidth="1"/>
    <col min="4" max="4" width="21.6640625" customWidth="1"/>
    <col min="5" max="5" width="27.6640625" customWidth="1"/>
    <col min="6" max="6" width="23.6640625" customWidth="1"/>
    <col min="7" max="8" width="14.6640625" customWidth="1"/>
    <col min="9" max="9" width="17.6640625" customWidth="1"/>
  </cols>
  <sheetData>
    <row r="1" spans="1:9" ht="42" customHeight="1" x14ac:dyDescent="0.2">
      <c r="A1" s="1" t="s">
        <v>152</v>
      </c>
      <c r="B1" s="1" t="s">
        <v>57</v>
      </c>
      <c r="C1" s="1" t="s">
        <v>153</v>
      </c>
      <c r="D1" s="1" t="s">
        <v>154</v>
      </c>
      <c r="E1" s="1" t="s">
        <v>155</v>
      </c>
      <c r="F1" s="1" t="s">
        <v>156</v>
      </c>
      <c r="G1" s="1" t="s">
        <v>157</v>
      </c>
      <c r="H1" s="1" t="s">
        <v>65</v>
      </c>
      <c r="I1" s="1" t="s">
        <v>158</v>
      </c>
    </row>
    <row r="2" spans="1:9" ht="22" customHeight="1" x14ac:dyDescent="0.2">
      <c r="A2" s="2" t="s">
        <v>159</v>
      </c>
      <c r="B2" s="2" t="s">
        <v>67</v>
      </c>
      <c r="C2" s="2" t="s">
        <v>68</v>
      </c>
      <c r="D2" s="2" t="s">
        <v>160</v>
      </c>
      <c r="E2" s="3" t="s">
        <v>161</v>
      </c>
      <c r="F2" s="3" t="s">
        <v>162</v>
      </c>
      <c r="G2" s="2" t="s">
        <v>74</v>
      </c>
      <c r="H2" s="3" t="s">
        <v>75</v>
      </c>
      <c r="I2" s="3" t="s">
        <v>76</v>
      </c>
    </row>
    <row r="3" spans="1:9" ht="36" customHeight="1" x14ac:dyDescent="0.2">
      <c r="A3" s="4" t="s">
        <v>163</v>
      </c>
      <c r="B3" s="4" t="s">
        <v>164</v>
      </c>
      <c r="C3" s="4" t="s">
        <v>165</v>
      </c>
      <c r="D3" s="4" t="s">
        <v>166</v>
      </c>
      <c r="E3" s="4" t="s">
        <v>167</v>
      </c>
      <c r="F3" s="4" t="s">
        <v>168</v>
      </c>
      <c r="G3" s="4" t="s">
        <v>169</v>
      </c>
      <c r="H3" s="4" t="s">
        <v>170</v>
      </c>
      <c r="I3" s="4"/>
    </row>
    <row r="4" spans="1:9" s="5" customFormat="1" ht="18" customHeight="1" x14ac:dyDescent="0.15">
      <c r="A4" s="12" t="s">
        <v>327</v>
      </c>
      <c r="B4" s="7" t="s">
        <v>300</v>
      </c>
      <c r="C4" s="12" t="s">
        <v>328</v>
      </c>
      <c r="D4" s="12" t="b">
        <v>0</v>
      </c>
      <c r="E4" s="7"/>
      <c r="F4" s="7"/>
      <c r="G4" s="7" t="s">
        <v>169</v>
      </c>
      <c r="H4" s="12"/>
      <c r="I4" s="12" t="s">
        <v>171</v>
      </c>
    </row>
    <row r="5" spans="1:9" s="5" customFormat="1" ht="18" customHeight="1" x14ac:dyDescent="0.15">
      <c r="A5" s="12" t="s">
        <v>327</v>
      </c>
      <c r="B5" s="15" t="s">
        <v>301</v>
      </c>
      <c r="C5" s="12" t="s">
        <v>329</v>
      </c>
      <c r="D5" s="12" t="b">
        <v>0</v>
      </c>
      <c r="E5" s="12"/>
      <c r="F5" s="12"/>
      <c r="G5" s="7" t="s">
        <v>169</v>
      </c>
      <c r="H5" s="12"/>
      <c r="I5" s="12"/>
    </row>
    <row r="6" spans="1:9" s="5" customFormat="1" ht="18" customHeight="1" x14ac:dyDescent="0.15">
      <c r="A6" s="12" t="s">
        <v>327</v>
      </c>
      <c r="B6" s="15" t="s">
        <v>302</v>
      </c>
      <c r="C6" s="12" t="s">
        <v>330</v>
      </c>
      <c r="D6" s="12" t="b">
        <v>0</v>
      </c>
      <c r="E6" s="12"/>
      <c r="F6" s="12"/>
      <c r="G6" s="7"/>
      <c r="H6" s="12"/>
      <c r="I6" s="12"/>
    </row>
    <row r="7" spans="1:9" s="5" customFormat="1" ht="18" customHeight="1" x14ac:dyDescent="0.15">
      <c r="A7" s="7" t="s">
        <v>303</v>
      </c>
      <c r="B7" s="12" t="s">
        <v>172</v>
      </c>
      <c r="C7" s="12" t="s">
        <v>173</v>
      </c>
      <c r="D7" s="12" t="b">
        <v>1</v>
      </c>
      <c r="E7" s="16" t="s">
        <v>332</v>
      </c>
      <c r="F7" s="16" t="s">
        <v>163</v>
      </c>
      <c r="G7" s="16" t="s">
        <v>174</v>
      </c>
      <c r="H7" s="12">
        <v>4</v>
      </c>
      <c r="I7" s="12" t="s">
        <v>331</v>
      </c>
    </row>
    <row r="8" spans="1:9" s="5" customFormat="1" ht="18" customHeight="1" x14ac:dyDescent="0.15">
      <c r="A8" s="7"/>
      <c r="B8" s="12"/>
      <c r="C8" s="12"/>
      <c r="D8" s="12"/>
      <c r="E8" s="12"/>
      <c r="F8" s="12"/>
      <c r="G8" s="12"/>
      <c r="H8" s="12"/>
      <c r="I8" s="12"/>
    </row>
    <row r="9" spans="1:9" s="5" customFormat="1" ht="18" customHeight="1" x14ac:dyDescent="0.2"/>
    <row r="10" spans="1:9" s="5" customFormat="1" ht="18" customHeight="1" x14ac:dyDescent="0.2"/>
    <row r="11" spans="1:9" s="5" customFormat="1" ht="18" customHeight="1" x14ac:dyDescent="0.2"/>
    <row r="12" spans="1:9" s="5" customFormat="1" ht="18" customHeight="1" x14ac:dyDescent="0.2"/>
    <row r="13" spans="1:9" s="5" customFormat="1" ht="18" customHeight="1" x14ac:dyDescent="0.2"/>
    <row r="14" spans="1:9" s="5" customFormat="1" ht="18" customHeight="1" x14ac:dyDescent="0.2"/>
    <row r="15" spans="1:9" s="5" customFormat="1" ht="18" customHeight="1" x14ac:dyDescent="0.2"/>
    <row r="16" spans="1:9" s="5" customFormat="1" ht="18" customHeight="1" x14ac:dyDescent="0.2"/>
    <row r="17" s="5" customFormat="1" ht="18" customHeight="1" x14ac:dyDescent="0.2"/>
    <row r="18" s="5" customFormat="1" ht="18" customHeight="1" x14ac:dyDescent="0.2"/>
    <row r="19" s="5" customFormat="1" ht="18" customHeight="1" x14ac:dyDescent="0.2"/>
    <row r="20" s="5" customFormat="1" ht="18" customHeight="1" x14ac:dyDescent="0.2"/>
    <row r="21" s="5" customFormat="1" ht="18" customHeight="1" x14ac:dyDescent="0.2"/>
    <row r="22" s="5" customFormat="1" ht="18" customHeight="1" x14ac:dyDescent="0.2"/>
    <row r="23" s="5" customFormat="1" ht="18" customHeight="1" x14ac:dyDescent="0.2"/>
    <row r="24" s="5" customFormat="1" ht="18" customHeight="1" x14ac:dyDescent="0.2"/>
    <row r="25" s="5" customFormat="1" ht="18" customHeight="1" x14ac:dyDescent="0.2"/>
    <row r="26" s="5" customFormat="1" ht="18" customHeight="1" x14ac:dyDescent="0.2"/>
    <row r="27" s="5" customFormat="1" ht="18" customHeight="1" x14ac:dyDescent="0.2"/>
    <row r="28" s="5" customFormat="1" ht="18" customHeight="1" x14ac:dyDescent="0.2"/>
    <row r="29" s="5" customFormat="1" ht="18" customHeight="1" x14ac:dyDescent="0.2"/>
    <row r="30" s="5" customFormat="1" ht="18" customHeight="1" x14ac:dyDescent="0.2"/>
    <row r="31" s="5" customFormat="1" ht="18" customHeight="1" x14ac:dyDescent="0.2"/>
    <row r="32" s="5" customFormat="1" ht="18" customHeight="1" x14ac:dyDescent="0.2"/>
    <row r="33" s="5" customFormat="1" ht="18" customHeight="1" x14ac:dyDescent="0.2"/>
    <row r="34" s="5" customFormat="1" ht="18" customHeight="1" x14ac:dyDescent="0.2"/>
    <row r="35" s="5" customFormat="1" ht="18" customHeight="1" x14ac:dyDescent="0.2"/>
    <row r="36" s="5" customFormat="1" ht="18" customHeight="1" x14ac:dyDescent="0.2"/>
    <row r="37" s="5" customFormat="1" ht="18" customHeight="1" x14ac:dyDescent="0.2"/>
    <row r="38" s="5" customFormat="1" ht="18" customHeight="1" x14ac:dyDescent="0.2"/>
    <row r="39" s="5" customFormat="1" ht="18" customHeight="1" x14ac:dyDescent="0.2"/>
    <row r="40" s="5" customFormat="1" ht="18" customHeight="1" x14ac:dyDescent="0.2"/>
    <row r="41" s="5" customFormat="1" ht="18" customHeight="1" x14ac:dyDescent="0.2"/>
    <row r="42" s="5" customFormat="1" ht="18" customHeight="1" x14ac:dyDescent="0.2"/>
    <row r="43" s="5" customFormat="1" ht="18" customHeight="1" x14ac:dyDescent="0.2"/>
    <row r="44" s="5" customFormat="1" ht="18" customHeight="1" x14ac:dyDescent="0.2"/>
    <row r="45" s="5" customFormat="1" ht="18" customHeight="1" x14ac:dyDescent="0.2"/>
    <row r="46" s="5" customFormat="1" ht="18" customHeight="1" x14ac:dyDescent="0.2"/>
    <row r="47" s="5" customFormat="1" ht="18" customHeight="1" x14ac:dyDescent="0.2"/>
    <row r="48" s="5" customFormat="1" ht="18" customHeight="1" x14ac:dyDescent="0.2"/>
    <row r="49" s="5" customFormat="1" ht="18" customHeight="1" x14ac:dyDescent="0.2"/>
    <row r="50" s="5" customFormat="1" ht="18" customHeight="1" x14ac:dyDescent="0.2"/>
    <row r="51" s="5" customFormat="1" ht="18" customHeight="1" x14ac:dyDescent="0.2"/>
    <row r="52" s="5" customFormat="1" ht="18" customHeight="1" x14ac:dyDescent="0.2"/>
    <row r="53" s="5" customFormat="1" ht="18" customHeight="1" x14ac:dyDescent="0.2"/>
    <row r="54" s="5" customFormat="1" ht="18" customHeight="1" x14ac:dyDescent="0.2"/>
    <row r="55" s="5" customFormat="1" ht="18" customHeight="1" x14ac:dyDescent="0.2"/>
    <row r="56" s="5" customFormat="1" ht="18" customHeight="1" x14ac:dyDescent="0.2"/>
    <row r="57" s="5" customFormat="1" ht="18" customHeight="1" x14ac:dyDescent="0.2"/>
    <row r="58" s="5" customFormat="1" ht="18" customHeight="1" x14ac:dyDescent="0.2"/>
    <row r="59" s="5" customFormat="1" ht="18" customHeight="1" x14ac:dyDescent="0.2"/>
    <row r="60" s="5" customFormat="1" ht="18" customHeight="1" x14ac:dyDescent="0.2"/>
    <row r="61" s="5" customFormat="1" ht="18" customHeight="1" x14ac:dyDescent="0.2"/>
    <row r="62" s="5" customFormat="1" ht="18" customHeight="1" x14ac:dyDescent="0.2"/>
    <row r="63" s="5" customFormat="1" ht="18" customHeight="1" x14ac:dyDescent="0.2"/>
    <row r="64" s="5" customFormat="1" ht="18" customHeight="1" x14ac:dyDescent="0.2"/>
    <row r="65" s="5" customFormat="1" ht="18" customHeight="1" x14ac:dyDescent="0.2"/>
    <row r="66" s="5" customFormat="1" ht="18" customHeight="1" x14ac:dyDescent="0.2"/>
    <row r="67" s="5" customFormat="1" ht="18" customHeight="1" x14ac:dyDescent="0.2"/>
    <row r="68" s="5" customFormat="1" ht="18" customHeight="1" x14ac:dyDescent="0.2"/>
    <row r="69" s="5" customFormat="1" ht="18" customHeight="1" x14ac:dyDescent="0.2"/>
    <row r="70" s="5" customFormat="1" ht="18" customHeight="1" x14ac:dyDescent="0.2"/>
    <row r="71" s="5" customFormat="1" ht="18" customHeight="1" x14ac:dyDescent="0.2"/>
    <row r="72" s="5" customFormat="1" ht="18" customHeight="1" x14ac:dyDescent="0.2"/>
    <row r="73" s="5" customFormat="1" ht="18" customHeight="1" x14ac:dyDescent="0.2"/>
    <row r="74" s="5" customFormat="1" ht="18" customHeight="1" x14ac:dyDescent="0.2"/>
    <row r="75" s="5" customFormat="1" ht="18" customHeight="1" x14ac:dyDescent="0.2"/>
    <row r="76" s="5" customFormat="1" ht="18" customHeight="1" x14ac:dyDescent="0.2"/>
    <row r="77" s="5" customFormat="1" ht="18" customHeight="1" x14ac:dyDescent="0.2"/>
    <row r="78" s="5" customFormat="1" ht="18" customHeight="1" x14ac:dyDescent="0.2"/>
    <row r="79" s="5" customFormat="1" ht="18" customHeight="1" x14ac:dyDescent="0.2"/>
    <row r="80" s="5" customFormat="1" ht="18" customHeight="1" x14ac:dyDescent="0.2"/>
    <row r="81" s="5" customFormat="1" ht="18" customHeight="1" x14ac:dyDescent="0.2"/>
    <row r="82" s="5" customFormat="1" ht="18" customHeight="1" x14ac:dyDescent="0.2"/>
    <row r="83" s="5" customFormat="1" ht="18" customHeight="1" x14ac:dyDescent="0.2"/>
    <row r="84" s="5" customFormat="1" ht="18" customHeight="1" x14ac:dyDescent="0.2"/>
    <row r="85" s="5" customFormat="1" ht="18" customHeight="1" x14ac:dyDescent="0.2"/>
    <row r="86" s="5" customFormat="1" ht="18" customHeight="1" x14ac:dyDescent="0.2"/>
    <row r="87" s="5" customFormat="1" ht="18" customHeight="1" x14ac:dyDescent="0.2"/>
    <row r="88" s="5" customFormat="1" ht="18" customHeight="1" x14ac:dyDescent="0.2"/>
    <row r="89" s="5" customFormat="1" ht="18" customHeight="1" x14ac:dyDescent="0.2"/>
    <row r="90" s="5" customFormat="1" ht="18" customHeight="1" x14ac:dyDescent="0.2"/>
    <row r="91" s="5" customFormat="1" ht="18" customHeight="1" x14ac:dyDescent="0.2"/>
    <row r="92" s="5" customFormat="1" ht="18" customHeight="1" x14ac:dyDescent="0.2"/>
    <row r="93" s="5" customFormat="1" ht="18" customHeight="1" x14ac:dyDescent="0.2"/>
    <row r="94" s="5" customFormat="1" ht="18" customHeight="1" x14ac:dyDescent="0.2"/>
    <row r="95" s="5" customFormat="1" ht="18" customHeight="1" x14ac:dyDescent="0.2"/>
    <row r="96" s="5" customFormat="1" ht="18" customHeight="1" x14ac:dyDescent="0.2"/>
    <row r="97" s="5" customFormat="1" ht="18" customHeight="1" x14ac:dyDescent="0.2"/>
    <row r="98" s="5" customFormat="1" ht="18" customHeight="1" x14ac:dyDescent="0.2"/>
    <row r="99" s="5" customFormat="1" ht="18" customHeight="1" x14ac:dyDescent="0.2"/>
    <row r="100" s="5" customFormat="1" ht="18" customHeight="1" x14ac:dyDescent="0.2"/>
    <row r="101" s="5" customFormat="1" ht="18" customHeight="1" x14ac:dyDescent="0.2"/>
    <row r="102" s="5" customFormat="1" ht="18" customHeight="1" x14ac:dyDescent="0.2"/>
    <row r="103" s="5" customFormat="1" ht="18" customHeight="1" x14ac:dyDescent="0.2"/>
    <row r="104" s="5" customFormat="1" ht="18" customHeight="1" x14ac:dyDescent="0.2"/>
    <row r="105" s="5" customFormat="1" ht="18" customHeight="1" x14ac:dyDescent="0.2"/>
    <row r="106" s="5" customFormat="1" ht="18" customHeight="1" x14ac:dyDescent="0.2"/>
    <row r="107" s="5" customFormat="1" ht="18" customHeight="1" x14ac:dyDescent="0.2"/>
    <row r="108" s="5" customFormat="1" ht="18" customHeight="1" x14ac:dyDescent="0.2"/>
    <row r="109" s="5" customFormat="1" ht="18" customHeight="1" x14ac:dyDescent="0.2"/>
    <row r="110" s="5" customFormat="1" ht="18" customHeight="1" x14ac:dyDescent="0.2"/>
    <row r="111" s="5" customFormat="1" ht="18" customHeight="1" x14ac:dyDescent="0.2"/>
    <row r="112" s="5" customFormat="1" ht="18" customHeight="1" x14ac:dyDescent="0.2"/>
    <row r="113" s="5" customFormat="1" ht="18" customHeight="1" x14ac:dyDescent="0.2"/>
    <row r="114" s="5" customFormat="1" ht="18" customHeight="1" x14ac:dyDescent="0.2"/>
    <row r="115" s="5" customFormat="1" ht="18" customHeight="1" x14ac:dyDescent="0.2"/>
    <row r="116" s="5" customFormat="1" ht="18" customHeight="1" x14ac:dyDescent="0.2"/>
    <row r="117" s="5" customFormat="1" ht="18" customHeight="1" x14ac:dyDescent="0.2"/>
    <row r="118" s="5" customFormat="1" ht="18" customHeight="1" x14ac:dyDescent="0.2"/>
    <row r="119" s="5" customFormat="1" ht="18" customHeight="1" x14ac:dyDescent="0.2"/>
    <row r="120" s="5" customFormat="1" ht="18" customHeight="1" x14ac:dyDescent="0.2"/>
    <row r="121" s="5" customFormat="1" ht="18" customHeight="1" x14ac:dyDescent="0.2"/>
    <row r="122" s="5" customFormat="1" ht="18" customHeight="1" x14ac:dyDescent="0.2"/>
    <row r="123" s="5" customFormat="1" ht="18" customHeight="1" x14ac:dyDescent="0.2"/>
    <row r="124" s="5" customFormat="1" ht="18" customHeight="1" x14ac:dyDescent="0.2"/>
    <row r="125" s="5" customFormat="1" ht="18" customHeight="1" x14ac:dyDescent="0.2"/>
    <row r="126" s="5" customFormat="1" ht="18" customHeight="1" x14ac:dyDescent="0.2"/>
    <row r="127" s="5" customFormat="1" ht="18" customHeight="1" x14ac:dyDescent="0.2"/>
    <row r="128" s="5" customFormat="1" ht="18" customHeight="1" x14ac:dyDescent="0.2"/>
    <row r="129" s="5" customFormat="1" ht="18" customHeight="1" x14ac:dyDescent="0.2"/>
    <row r="130" s="5" customFormat="1" ht="18" customHeight="1" x14ac:dyDescent="0.2"/>
    <row r="131" s="5" customFormat="1" ht="18" customHeight="1" x14ac:dyDescent="0.2"/>
    <row r="132" s="5" customFormat="1" ht="18" customHeight="1" x14ac:dyDescent="0.2"/>
    <row r="133" s="5" customFormat="1" ht="18" customHeight="1" x14ac:dyDescent="0.2"/>
    <row r="134" s="5" customFormat="1" ht="18" customHeight="1" x14ac:dyDescent="0.2"/>
    <row r="135" s="5" customFormat="1" ht="18" customHeight="1" x14ac:dyDescent="0.2"/>
    <row r="136" s="5" customFormat="1" ht="18" customHeight="1" x14ac:dyDescent="0.2"/>
    <row r="137" s="5" customFormat="1" ht="18" customHeight="1" x14ac:dyDescent="0.2"/>
    <row r="138" s="5" customFormat="1" ht="18" customHeight="1" x14ac:dyDescent="0.2"/>
    <row r="139" s="5" customFormat="1" ht="18" customHeight="1" x14ac:dyDescent="0.2"/>
    <row r="140" s="5" customFormat="1" ht="18" customHeight="1" x14ac:dyDescent="0.2"/>
    <row r="141" s="5" customFormat="1" ht="18" customHeight="1" x14ac:dyDescent="0.2"/>
    <row r="142" s="5" customFormat="1" ht="18" customHeight="1" x14ac:dyDescent="0.2"/>
    <row r="143" s="5" customFormat="1" ht="18" customHeight="1" x14ac:dyDescent="0.2"/>
    <row r="144" s="5" customFormat="1" ht="18" customHeight="1" x14ac:dyDescent="0.2"/>
    <row r="145" s="5" customFormat="1" ht="18" customHeight="1" x14ac:dyDescent="0.2"/>
    <row r="146" s="5" customFormat="1" ht="18" customHeight="1" x14ac:dyDescent="0.2"/>
    <row r="147" s="5" customFormat="1" ht="18" customHeight="1" x14ac:dyDescent="0.2"/>
    <row r="148" s="5" customFormat="1" ht="18" customHeight="1" x14ac:dyDescent="0.2"/>
    <row r="149" s="5" customFormat="1" ht="18" customHeight="1" x14ac:dyDescent="0.2"/>
    <row r="150" s="5" customFormat="1" ht="18" customHeight="1" x14ac:dyDescent="0.2"/>
    <row r="151" s="5" customFormat="1" ht="18" customHeight="1" x14ac:dyDescent="0.2"/>
    <row r="152" s="5" customFormat="1" ht="18" customHeight="1" x14ac:dyDescent="0.2"/>
    <row r="153" s="5" customFormat="1" ht="18" customHeight="1" x14ac:dyDescent="0.2"/>
    <row r="154" s="5" customFormat="1" ht="18" customHeight="1" x14ac:dyDescent="0.2"/>
    <row r="155" s="5" customFormat="1" ht="18" customHeight="1" x14ac:dyDescent="0.2"/>
    <row r="156" s="5" customFormat="1" ht="18" customHeight="1" x14ac:dyDescent="0.2"/>
    <row r="157" s="5" customFormat="1" ht="18" customHeight="1" x14ac:dyDescent="0.2"/>
    <row r="158" s="5" customFormat="1" ht="18" customHeight="1" x14ac:dyDescent="0.2"/>
    <row r="159" s="5" customFormat="1" ht="18" customHeight="1" x14ac:dyDescent="0.2"/>
    <row r="160" s="5" customFormat="1" ht="18" customHeight="1" x14ac:dyDescent="0.2"/>
    <row r="161" s="5" customFormat="1" ht="18" customHeight="1" x14ac:dyDescent="0.2"/>
    <row r="162" s="5" customFormat="1" ht="18" customHeight="1" x14ac:dyDescent="0.2"/>
    <row r="163" s="5" customFormat="1" ht="18" customHeight="1" x14ac:dyDescent="0.2"/>
    <row r="164" s="5" customFormat="1" ht="18" customHeight="1" x14ac:dyDescent="0.2"/>
    <row r="165" s="5" customFormat="1" ht="18" customHeight="1" x14ac:dyDescent="0.2"/>
    <row r="166" s="5" customFormat="1" ht="18" customHeight="1" x14ac:dyDescent="0.2"/>
    <row r="167" s="5" customFormat="1" ht="18" customHeight="1" x14ac:dyDescent="0.2"/>
    <row r="168" s="5" customFormat="1" ht="18" customHeight="1" x14ac:dyDescent="0.2"/>
    <row r="169" s="5" customFormat="1" ht="18" customHeight="1" x14ac:dyDescent="0.2"/>
    <row r="170" s="5" customFormat="1" ht="18" customHeight="1" x14ac:dyDescent="0.2"/>
    <row r="171" s="5" customFormat="1" ht="18" customHeight="1" x14ac:dyDescent="0.2"/>
    <row r="172" s="5" customFormat="1" ht="18" customHeight="1" x14ac:dyDescent="0.2"/>
    <row r="173" s="5" customFormat="1" ht="18" customHeight="1" x14ac:dyDescent="0.2"/>
    <row r="174" s="5" customFormat="1" ht="18" customHeight="1" x14ac:dyDescent="0.2"/>
    <row r="175" s="5" customFormat="1" ht="18" customHeight="1" x14ac:dyDescent="0.2"/>
    <row r="176" s="5" customFormat="1" ht="18" customHeight="1" x14ac:dyDescent="0.2"/>
    <row r="177" s="5" customFormat="1" ht="18" customHeight="1" x14ac:dyDescent="0.2"/>
    <row r="178" s="5" customFormat="1" ht="18" customHeight="1" x14ac:dyDescent="0.2"/>
    <row r="179" s="5" customFormat="1" ht="18" customHeight="1" x14ac:dyDescent="0.2"/>
    <row r="180" s="5" customFormat="1" ht="18" customHeight="1" x14ac:dyDescent="0.2"/>
    <row r="181" s="5" customFormat="1" ht="18" customHeight="1" x14ac:dyDescent="0.2"/>
    <row r="182" s="5" customFormat="1" ht="18" customHeight="1" x14ac:dyDescent="0.2"/>
    <row r="183" s="5" customFormat="1" ht="18" customHeight="1" x14ac:dyDescent="0.2"/>
    <row r="184" s="5" customFormat="1" ht="18" customHeight="1" x14ac:dyDescent="0.2"/>
    <row r="185" s="5" customFormat="1" ht="18" customHeight="1" x14ac:dyDescent="0.2"/>
    <row r="186" s="5" customFormat="1" ht="18" customHeight="1" x14ac:dyDescent="0.2"/>
    <row r="187" s="5" customFormat="1" ht="18" customHeight="1" x14ac:dyDescent="0.2"/>
    <row r="188" s="5" customFormat="1" ht="18" customHeight="1" x14ac:dyDescent="0.2"/>
    <row r="189" s="5" customFormat="1" ht="18" customHeight="1" x14ac:dyDescent="0.2"/>
    <row r="190" s="5" customFormat="1" ht="18" customHeight="1" x14ac:dyDescent="0.2"/>
    <row r="191" s="5" customFormat="1" ht="18" customHeight="1" x14ac:dyDescent="0.2"/>
    <row r="192" s="5" customFormat="1" ht="18" customHeight="1" x14ac:dyDescent="0.2"/>
    <row r="193" s="5" customFormat="1" ht="18" customHeight="1" x14ac:dyDescent="0.2"/>
    <row r="194" s="5" customFormat="1" ht="18" customHeight="1" x14ac:dyDescent="0.2"/>
    <row r="195" s="5" customFormat="1" ht="18" customHeight="1" x14ac:dyDescent="0.2"/>
    <row r="196" s="5" customFormat="1" ht="18" customHeight="1" x14ac:dyDescent="0.2"/>
  </sheetData>
  <dataValidations count="1">
    <dataValidation type="list" allowBlank="1" showInputMessage="1" showErrorMessage="1" sqref="D4:D196" xr:uid="{00000000-0002-0000-0400-000000000000}">
      <formula1>"TRUE,FALSE"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01"/>
  <sheetViews>
    <sheetView workbookViewId="0">
      <pane ySplit="3" topLeftCell="A4" activePane="bottomLeft" state="frozen"/>
      <selection pane="bottomLeft" activeCell="G20" sqref="G20"/>
    </sheetView>
  </sheetViews>
  <sheetFormatPr baseColWidth="10" defaultColWidth="8.83203125" defaultRowHeight="15" x14ac:dyDescent="0.2"/>
  <cols>
    <col min="1" max="1" width="21.6640625" customWidth="1"/>
    <col min="2" max="2" width="14.6640625" customWidth="1"/>
    <col min="3" max="3" width="24.6640625" customWidth="1"/>
    <col min="4" max="4" width="14.6640625" customWidth="1"/>
    <col min="5" max="5" width="24.6640625" customWidth="1"/>
    <col min="6" max="6" width="14.6640625" customWidth="1"/>
    <col min="7" max="7" width="24.6640625" customWidth="1"/>
    <col min="8" max="8" width="18.6640625" customWidth="1"/>
    <col min="9" max="9" width="14.6640625" customWidth="1"/>
    <col min="10" max="10" width="25.6640625" customWidth="1"/>
    <col min="11" max="11" width="14.6640625" customWidth="1"/>
    <col min="12" max="12" width="28.6640625" customWidth="1"/>
    <col min="13" max="13" width="15.6640625" customWidth="1"/>
    <col min="14" max="14" width="14.6640625" customWidth="1"/>
    <col min="15" max="15" width="15.6640625" customWidth="1"/>
    <col min="16" max="16" width="36.6640625" customWidth="1"/>
    <col min="17" max="17" width="15.6640625" customWidth="1"/>
    <col min="18" max="18" width="14.6640625" customWidth="1"/>
    <col min="19" max="19" width="22.6640625" customWidth="1"/>
    <col min="20" max="20" width="14.6640625" customWidth="1"/>
    <col min="21" max="21" width="27.6640625" customWidth="1"/>
    <col min="22" max="22" width="17.6640625" customWidth="1"/>
  </cols>
  <sheetData>
    <row r="1" spans="1:18" ht="42" customHeight="1" x14ac:dyDescent="0.2">
      <c r="A1" s="1" t="s">
        <v>175</v>
      </c>
      <c r="B1" s="1" t="s">
        <v>176</v>
      </c>
      <c r="C1" s="1" t="s">
        <v>177</v>
      </c>
      <c r="D1" s="1" t="s">
        <v>178</v>
      </c>
      <c r="E1" s="1" t="s">
        <v>179</v>
      </c>
      <c r="F1" s="1" t="s">
        <v>180</v>
      </c>
      <c r="G1" s="1" t="s">
        <v>181</v>
      </c>
      <c r="H1" s="1" t="s">
        <v>182</v>
      </c>
      <c r="I1" s="1" t="s">
        <v>183</v>
      </c>
      <c r="J1" s="1" t="s">
        <v>184</v>
      </c>
      <c r="K1" s="1" t="s">
        <v>185</v>
      </c>
      <c r="L1" s="1" t="s">
        <v>186</v>
      </c>
      <c r="M1" s="1" t="s">
        <v>187</v>
      </c>
      <c r="N1" s="1" t="s">
        <v>188</v>
      </c>
      <c r="O1" s="1" t="s">
        <v>189</v>
      </c>
      <c r="P1" s="1" t="s">
        <v>190</v>
      </c>
      <c r="Q1" s="1" t="s">
        <v>191</v>
      </c>
      <c r="R1" s="1" t="s">
        <v>192</v>
      </c>
    </row>
    <row r="2" spans="1:18" ht="22" customHeight="1" x14ac:dyDescent="0.2">
      <c r="A2" s="2" t="s">
        <v>73</v>
      </c>
      <c r="B2" s="3" t="s">
        <v>193</v>
      </c>
      <c r="C2" s="3" t="s">
        <v>194</v>
      </c>
      <c r="D2" s="3" t="s">
        <v>195</v>
      </c>
      <c r="E2" s="3" t="s">
        <v>196</v>
      </c>
      <c r="F2" s="3" t="s">
        <v>197</v>
      </c>
      <c r="G2" s="3" t="s">
        <v>198</v>
      </c>
      <c r="H2" s="3" t="s">
        <v>76</v>
      </c>
      <c r="I2" s="3" t="s">
        <v>199</v>
      </c>
      <c r="J2" s="3" t="s">
        <v>200</v>
      </c>
      <c r="K2" s="3" t="s">
        <v>201</v>
      </c>
      <c r="L2" s="3" t="s">
        <v>202</v>
      </c>
      <c r="M2" s="3" t="s">
        <v>203</v>
      </c>
      <c r="N2" s="3" t="s">
        <v>204</v>
      </c>
      <c r="O2" s="3" t="s">
        <v>205</v>
      </c>
      <c r="P2" s="3" t="s">
        <v>206</v>
      </c>
      <c r="Q2" s="3" t="s">
        <v>207</v>
      </c>
      <c r="R2" s="3" t="s">
        <v>208</v>
      </c>
    </row>
    <row r="3" spans="1:18" ht="36" customHeight="1" thickBot="1" x14ac:dyDescent="0.25">
      <c r="A3" s="4" t="s">
        <v>83</v>
      </c>
      <c r="B3" s="4" t="s">
        <v>209</v>
      </c>
      <c r="C3" s="4" t="s">
        <v>210</v>
      </c>
      <c r="D3" s="4" t="s">
        <v>211</v>
      </c>
      <c r="E3" s="4" t="s">
        <v>212</v>
      </c>
      <c r="F3" s="4" t="s">
        <v>213</v>
      </c>
      <c r="G3" s="4" t="s">
        <v>214</v>
      </c>
      <c r="H3" s="4" t="s">
        <v>275</v>
      </c>
      <c r="I3" s="4" t="s">
        <v>215</v>
      </c>
      <c r="J3" s="4" t="s">
        <v>216</v>
      </c>
      <c r="K3" s="4" t="s">
        <v>217</v>
      </c>
      <c r="L3" s="4" t="s">
        <v>218</v>
      </c>
      <c r="M3" s="4" t="s">
        <v>219</v>
      </c>
      <c r="N3" s="4" t="s">
        <v>220</v>
      </c>
      <c r="O3" s="4" t="s">
        <v>221</v>
      </c>
      <c r="P3" s="4" t="s">
        <v>222</v>
      </c>
      <c r="Q3" s="4" t="s">
        <v>223</v>
      </c>
      <c r="R3" s="4" t="s">
        <v>224</v>
      </c>
    </row>
    <row r="4" spans="1:18" s="5" customFormat="1" ht="18" customHeight="1" x14ac:dyDescent="0.2">
      <c r="A4" s="11" t="s">
        <v>320</v>
      </c>
      <c r="B4" t="s">
        <v>209</v>
      </c>
      <c r="D4" t="s">
        <v>225</v>
      </c>
      <c r="E4" t="s">
        <v>226</v>
      </c>
      <c r="I4" t="s">
        <v>222</v>
      </c>
      <c r="J4" t="s">
        <v>227</v>
      </c>
      <c r="K4" t="s">
        <v>222</v>
      </c>
      <c r="N4" t="s">
        <v>220</v>
      </c>
      <c r="P4" t="s">
        <v>222</v>
      </c>
      <c r="Q4" t="s">
        <v>223</v>
      </c>
    </row>
    <row r="5" spans="1:18" s="11" customFormat="1" ht="18" customHeight="1" x14ac:dyDescent="0.2">
      <c r="A5" s="11" t="s">
        <v>321</v>
      </c>
      <c r="B5" s="11" t="s">
        <v>333</v>
      </c>
      <c r="G5" s="10" t="s">
        <v>336</v>
      </c>
    </row>
    <row r="6" spans="1:18" s="5" customFormat="1" ht="18" customHeight="1" x14ac:dyDescent="0.2">
      <c r="A6" t="s">
        <v>103</v>
      </c>
      <c r="B6" t="s">
        <v>228</v>
      </c>
      <c r="G6" t="s">
        <v>229</v>
      </c>
      <c r="R6" t="s">
        <v>230</v>
      </c>
    </row>
    <row r="7" spans="1:18" s="5" customFormat="1" ht="18" customHeight="1" x14ac:dyDescent="0.2">
      <c r="A7" s="8" t="s">
        <v>110</v>
      </c>
      <c r="B7" t="s">
        <v>231</v>
      </c>
      <c r="D7">
        <v>10.1</v>
      </c>
      <c r="E7" s="10" t="s">
        <v>273</v>
      </c>
    </row>
    <row r="8" spans="1:18" s="5" customFormat="1" ht="18" customHeight="1" x14ac:dyDescent="0.2">
      <c r="A8" s="8" t="s">
        <v>110</v>
      </c>
      <c r="B8" t="s">
        <v>232</v>
      </c>
      <c r="D8">
        <v>2019</v>
      </c>
      <c r="E8" s="10" t="s">
        <v>274</v>
      </c>
    </row>
    <row r="9" spans="1:18" s="5" customFormat="1" ht="18" customHeight="1" x14ac:dyDescent="0.2">
      <c r="A9" s="8" t="s">
        <v>115</v>
      </c>
      <c r="B9" t="s">
        <v>233</v>
      </c>
      <c r="D9" s="17">
        <v>43988</v>
      </c>
      <c r="E9" t="s">
        <v>234</v>
      </c>
    </row>
    <row r="10" spans="1:18" s="5" customFormat="1" ht="18" customHeight="1" x14ac:dyDescent="0.2"/>
    <row r="11" spans="1:18" s="5" customFormat="1" ht="18" customHeight="1" x14ac:dyDescent="0.2"/>
    <row r="12" spans="1:18" s="5" customFormat="1" ht="18" customHeight="1" x14ac:dyDescent="0.2"/>
    <row r="13" spans="1:18" s="5" customFormat="1" ht="18" customHeight="1" x14ac:dyDescent="0.2"/>
    <row r="14" spans="1:18" s="5" customFormat="1" ht="18" customHeight="1" x14ac:dyDescent="0.2"/>
    <row r="15" spans="1:18" s="5" customFormat="1" ht="18" customHeight="1" x14ac:dyDescent="0.2"/>
    <row r="16" spans="1:18" s="5" customFormat="1" ht="18" customHeight="1" x14ac:dyDescent="0.2"/>
    <row r="17" s="5" customFormat="1" ht="18" customHeight="1" x14ac:dyDescent="0.2"/>
    <row r="18" s="5" customFormat="1" ht="18" customHeight="1" x14ac:dyDescent="0.2"/>
    <row r="19" s="5" customFormat="1" ht="18" customHeight="1" x14ac:dyDescent="0.2"/>
    <row r="20" s="5" customFormat="1" ht="18" customHeight="1" x14ac:dyDescent="0.2"/>
    <row r="21" s="5" customFormat="1" ht="18" customHeight="1" x14ac:dyDescent="0.2"/>
    <row r="22" s="5" customFormat="1" ht="18" customHeight="1" x14ac:dyDescent="0.2"/>
    <row r="23" s="5" customFormat="1" ht="18" customHeight="1" x14ac:dyDescent="0.2"/>
    <row r="24" s="5" customFormat="1" ht="18" customHeight="1" x14ac:dyDescent="0.2"/>
    <row r="25" s="5" customFormat="1" ht="18" customHeight="1" x14ac:dyDescent="0.2"/>
    <row r="26" s="5" customFormat="1" ht="18" customHeight="1" x14ac:dyDescent="0.2"/>
    <row r="27" s="5" customFormat="1" ht="18" customHeight="1" x14ac:dyDescent="0.2"/>
    <row r="28" s="5" customFormat="1" ht="18" customHeight="1" x14ac:dyDescent="0.2"/>
    <row r="29" s="5" customFormat="1" ht="18" customHeight="1" x14ac:dyDescent="0.2"/>
    <row r="30" s="5" customFormat="1" ht="18" customHeight="1" x14ac:dyDescent="0.2"/>
    <row r="31" s="5" customFormat="1" ht="18" customHeight="1" x14ac:dyDescent="0.2"/>
    <row r="32" s="5" customFormat="1" ht="18" customHeight="1" x14ac:dyDescent="0.2"/>
    <row r="33" s="5" customFormat="1" ht="18" customHeight="1" x14ac:dyDescent="0.2"/>
    <row r="34" s="5" customFormat="1" ht="18" customHeight="1" x14ac:dyDescent="0.2"/>
    <row r="35" s="5" customFormat="1" ht="18" customHeight="1" x14ac:dyDescent="0.2"/>
    <row r="36" s="5" customFormat="1" ht="18" customHeight="1" x14ac:dyDescent="0.2"/>
    <row r="37" s="5" customFormat="1" ht="18" customHeight="1" x14ac:dyDescent="0.2"/>
    <row r="38" s="5" customFormat="1" ht="18" customHeight="1" x14ac:dyDescent="0.2"/>
    <row r="39" s="5" customFormat="1" ht="18" customHeight="1" x14ac:dyDescent="0.2"/>
    <row r="40" s="5" customFormat="1" ht="18" customHeight="1" x14ac:dyDescent="0.2"/>
    <row r="41" s="5" customFormat="1" ht="18" customHeight="1" x14ac:dyDescent="0.2"/>
    <row r="42" s="5" customFormat="1" ht="18" customHeight="1" x14ac:dyDescent="0.2"/>
    <row r="43" s="5" customFormat="1" ht="18" customHeight="1" x14ac:dyDescent="0.2"/>
    <row r="44" s="5" customFormat="1" ht="18" customHeight="1" x14ac:dyDescent="0.2"/>
    <row r="45" s="5" customFormat="1" ht="18" customHeight="1" x14ac:dyDescent="0.2"/>
    <row r="46" s="5" customFormat="1" ht="18" customHeight="1" x14ac:dyDescent="0.2"/>
    <row r="47" s="5" customFormat="1" ht="18" customHeight="1" x14ac:dyDescent="0.2"/>
    <row r="48" s="5" customFormat="1" ht="18" customHeight="1" x14ac:dyDescent="0.2"/>
    <row r="49" s="5" customFormat="1" ht="18" customHeight="1" x14ac:dyDescent="0.2"/>
    <row r="50" s="5" customFormat="1" ht="18" customHeight="1" x14ac:dyDescent="0.2"/>
    <row r="51" s="5" customFormat="1" ht="18" customHeight="1" x14ac:dyDescent="0.2"/>
    <row r="52" s="5" customFormat="1" ht="18" customHeight="1" x14ac:dyDescent="0.2"/>
    <row r="53" s="5" customFormat="1" ht="18" customHeight="1" x14ac:dyDescent="0.2"/>
    <row r="54" s="5" customFormat="1" ht="18" customHeight="1" x14ac:dyDescent="0.2"/>
    <row r="55" s="5" customFormat="1" ht="18" customHeight="1" x14ac:dyDescent="0.2"/>
    <row r="56" s="5" customFormat="1" ht="18" customHeight="1" x14ac:dyDescent="0.2"/>
    <row r="57" s="5" customFormat="1" ht="18" customHeight="1" x14ac:dyDescent="0.2"/>
    <row r="58" s="5" customFormat="1" ht="18" customHeight="1" x14ac:dyDescent="0.2"/>
    <row r="59" s="5" customFormat="1" ht="18" customHeight="1" x14ac:dyDescent="0.2"/>
    <row r="60" s="5" customFormat="1" ht="18" customHeight="1" x14ac:dyDescent="0.2"/>
    <row r="61" s="5" customFormat="1" ht="18" customHeight="1" x14ac:dyDescent="0.2"/>
    <row r="62" s="5" customFormat="1" ht="18" customHeight="1" x14ac:dyDescent="0.2"/>
    <row r="63" s="5" customFormat="1" ht="18" customHeight="1" x14ac:dyDescent="0.2"/>
    <row r="64" s="5" customFormat="1" ht="18" customHeight="1" x14ac:dyDescent="0.2"/>
    <row r="65" s="5" customFormat="1" ht="18" customHeight="1" x14ac:dyDescent="0.2"/>
    <row r="66" s="5" customFormat="1" ht="18" customHeight="1" x14ac:dyDescent="0.2"/>
    <row r="67" s="5" customFormat="1" ht="18" customHeight="1" x14ac:dyDescent="0.2"/>
    <row r="68" s="5" customFormat="1" ht="18" customHeight="1" x14ac:dyDescent="0.2"/>
    <row r="69" s="5" customFormat="1" ht="18" customHeight="1" x14ac:dyDescent="0.2"/>
    <row r="70" s="5" customFormat="1" ht="18" customHeight="1" x14ac:dyDescent="0.2"/>
    <row r="71" s="5" customFormat="1" ht="18" customHeight="1" x14ac:dyDescent="0.2"/>
    <row r="72" s="5" customFormat="1" ht="18" customHeight="1" x14ac:dyDescent="0.2"/>
    <row r="73" s="5" customFormat="1" ht="18" customHeight="1" x14ac:dyDescent="0.2"/>
    <row r="74" s="5" customFormat="1" ht="18" customHeight="1" x14ac:dyDescent="0.2"/>
    <row r="75" s="5" customFormat="1" ht="18" customHeight="1" x14ac:dyDescent="0.2"/>
    <row r="76" s="5" customFormat="1" ht="18" customHeight="1" x14ac:dyDescent="0.2"/>
    <row r="77" s="5" customFormat="1" ht="18" customHeight="1" x14ac:dyDescent="0.2"/>
    <row r="78" s="5" customFormat="1" ht="18" customHeight="1" x14ac:dyDescent="0.2"/>
    <row r="79" s="5" customFormat="1" ht="18" customHeight="1" x14ac:dyDescent="0.2"/>
    <row r="80" s="5" customFormat="1" ht="18" customHeight="1" x14ac:dyDescent="0.2"/>
    <row r="81" s="5" customFormat="1" ht="18" customHeight="1" x14ac:dyDescent="0.2"/>
    <row r="82" s="5" customFormat="1" ht="18" customHeight="1" x14ac:dyDescent="0.2"/>
    <row r="83" s="5" customFormat="1" ht="18" customHeight="1" x14ac:dyDescent="0.2"/>
    <row r="84" s="5" customFormat="1" ht="18" customHeight="1" x14ac:dyDescent="0.2"/>
    <row r="85" s="5" customFormat="1" ht="18" customHeight="1" x14ac:dyDescent="0.2"/>
    <row r="86" s="5" customFormat="1" ht="18" customHeight="1" x14ac:dyDescent="0.2"/>
    <row r="87" s="5" customFormat="1" ht="18" customHeight="1" x14ac:dyDescent="0.2"/>
    <row r="88" s="5" customFormat="1" ht="18" customHeight="1" x14ac:dyDescent="0.2"/>
    <row r="89" s="5" customFormat="1" ht="18" customHeight="1" x14ac:dyDescent="0.2"/>
    <row r="90" s="5" customFormat="1" ht="18" customHeight="1" x14ac:dyDescent="0.2"/>
    <row r="91" s="5" customFormat="1" ht="18" customHeight="1" x14ac:dyDescent="0.2"/>
    <row r="92" s="5" customFormat="1" ht="18" customHeight="1" x14ac:dyDescent="0.2"/>
    <row r="93" s="5" customFormat="1" ht="18" customHeight="1" x14ac:dyDescent="0.2"/>
    <row r="94" s="5" customFormat="1" ht="18" customHeight="1" x14ac:dyDescent="0.2"/>
    <row r="95" s="5" customFormat="1" ht="18" customHeight="1" x14ac:dyDescent="0.2"/>
    <row r="96" s="5" customFormat="1" ht="18" customHeight="1" x14ac:dyDescent="0.2"/>
    <row r="97" s="5" customFormat="1" ht="18" customHeight="1" x14ac:dyDescent="0.2"/>
    <row r="98" s="5" customFormat="1" ht="18" customHeight="1" x14ac:dyDescent="0.2"/>
    <row r="99" s="5" customFormat="1" ht="18" customHeight="1" x14ac:dyDescent="0.2"/>
    <row r="100" s="5" customFormat="1" ht="18" customHeight="1" x14ac:dyDescent="0.2"/>
    <row r="101" s="5" customFormat="1" ht="18" customHeight="1" x14ac:dyDescent="0.2"/>
    <row r="102" s="5" customFormat="1" ht="18" customHeight="1" x14ac:dyDescent="0.2"/>
    <row r="103" s="5" customFormat="1" ht="18" customHeight="1" x14ac:dyDescent="0.2"/>
    <row r="104" s="5" customFormat="1" ht="18" customHeight="1" x14ac:dyDescent="0.2"/>
    <row r="105" s="5" customFormat="1" ht="18" customHeight="1" x14ac:dyDescent="0.2"/>
    <row r="106" s="5" customFormat="1" ht="18" customHeight="1" x14ac:dyDescent="0.2"/>
    <row r="107" s="5" customFormat="1" ht="18" customHeight="1" x14ac:dyDescent="0.2"/>
    <row r="108" s="5" customFormat="1" ht="18" customHeight="1" x14ac:dyDescent="0.2"/>
    <row r="109" s="5" customFormat="1" ht="18" customHeight="1" x14ac:dyDescent="0.2"/>
    <row r="110" s="5" customFormat="1" ht="18" customHeight="1" x14ac:dyDescent="0.2"/>
    <row r="111" s="5" customFormat="1" ht="18" customHeight="1" x14ac:dyDescent="0.2"/>
    <row r="112" s="5" customFormat="1" ht="18" customHeight="1" x14ac:dyDescent="0.2"/>
    <row r="113" s="5" customFormat="1" ht="18" customHeight="1" x14ac:dyDescent="0.2"/>
    <row r="114" s="5" customFormat="1" ht="18" customHeight="1" x14ac:dyDescent="0.2"/>
    <row r="115" s="5" customFormat="1" ht="18" customHeight="1" x14ac:dyDescent="0.2"/>
    <row r="116" s="5" customFormat="1" ht="18" customHeight="1" x14ac:dyDescent="0.2"/>
    <row r="117" s="5" customFormat="1" ht="18" customHeight="1" x14ac:dyDescent="0.2"/>
    <row r="118" s="5" customFormat="1" ht="18" customHeight="1" x14ac:dyDescent="0.2"/>
    <row r="119" s="5" customFormat="1" ht="18" customHeight="1" x14ac:dyDescent="0.2"/>
    <row r="120" s="5" customFormat="1" ht="18" customHeight="1" x14ac:dyDescent="0.2"/>
    <row r="121" s="5" customFormat="1" ht="18" customHeight="1" x14ac:dyDescent="0.2"/>
    <row r="122" s="5" customFormat="1" ht="18" customHeight="1" x14ac:dyDescent="0.2"/>
    <row r="123" s="5" customFormat="1" ht="18" customHeight="1" x14ac:dyDescent="0.2"/>
    <row r="124" s="5" customFormat="1" ht="18" customHeight="1" x14ac:dyDescent="0.2"/>
    <row r="125" s="5" customFormat="1" ht="18" customHeight="1" x14ac:dyDescent="0.2"/>
    <row r="126" s="5" customFormat="1" ht="18" customHeight="1" x14ac:dyDescent="0.2"/>
    <row r="127" s="5" customFormat="1" ht="18" customHeight="1" x14ac:dyDescent="0.2"/>
    <row r="128" s="5" customFormat="1" ht="18" customHeight="1" x14ac:dyDescent="0.2"/>
    <row r="129" s="5" customFormat="1" ht="18" customHeight="1" x14ac:dyDescent="0.2"/>
    <row r="130" s="5" customFormat="1" ht="18" customHeight="1" x14ac:dyDescent="0.2"/>
    <row r="131" s="5" customFormat="1" ht="18" customHeight="1" x14ac:dyDescent="0.2"/>
    <row r="132" s="5" customFormat="1" ht="18" customHeight="1" x14ac:dyDescent="0.2"/>
    <row r="133" s="5" customFormat="1" ht="18" customHeight="1" x14ac:dyDescent="0.2"/>
    <row r="134" s="5" customFormat="1" ht="18" customHeight="1" x14ac:dyDescent="0.2"/>
    <row r="135" s="5" customFormat="1" ht="18" customHeight="1" x14ac:dyDescent="0.2"/>
    <row r="136" s="5" customFormat="1" ht="18" customHeight="1" x14ac:dyDescent="0.2"/>
    <row r="137" s="5" customFormat="1" ht="18" customHeight="1" x14ac:dyDescent="0.2"/>
    <row r="138" s="5" customFormat="1" ht="18" customHeight="1" x14ac:dyDescent="0.2"/>
    <row r="139" s="5" customFormat="1" ht="18" customHeight="1" x14ac:dyDescent="0.2"/>
    <row r="140" s="5" customFormat="1" ht="18" customHeight="1" x14ac:dyDescent="0.2"/>
    <row r="141" s="5" customFormat="1" ht="18" customHeight="1" x14ac:dyDescent="0.2"/>
    <row r="142" s="5" customFormat="1" ht="18" customHeight="1" x14ac:dyDescent="0.2"/>
    <row r="143" s="5" customFormat="1" ht="18" customHeight="1" x14ac:dyDescent="0.2"/>
    <row r="144" s="5" customFormat="1" ht="18" customHeight="1" x14ac:dyDescent="0.2"/>
    <row r="145" s="5" customFormat="1" ht="18" customHeight="1" x14ac:dyDescent="0.2"/>
    <row r="146" s="5" customFormat="1" ht="18" customHeight="1" x14ac:dyDescent="0.2"/>
    <row r="147" s="5" customFormat="1" ht="18" customHeight="1" x14ac:dyDescent="0.2"/>
    <row r="148" s="5" customFormat="1" ht="18" customHeight="1" x14ac:dyDescent="0.2"/>
    <row r="149" s="5" customFormat="1" ht="18" customHeight="1" x14ac:dyDescent="0.2"/>
    <row r="150" s="5" customFormat="1" ht="18" customHeight="1" x14ac:dyDescent="0.2"/>
    <row r="151" s="5" customFormat="1" ht="18" customHeight="1" x14ac:dyDescent="0.2"/>
    <row r="152" s="5" customFormat="1" ht="18" customHeight="1" x14ac:dyDescent="0.2"/>
    <row r="153" s="5" customFormat="1" ht="18" customHeight="1" x14ac:dyDescent="0.2"/>
    <row r="154" s="5" customFormat="1" ht="18" customHeight="1" x14ac:dyDescent="0.2"/>
    <row r="155" s="5" customFormat="1" ht="18" customHeight="1" x14ac:dyDescent="0.2"/>
    <row r="156" s="5" customFormat="1" ht="18" customHeight="1" x14ac:dyDescent="0.2"/>
    <row r="157" s="5" customFormat="1" ht="18" customHeight="1" x14ac:dyDescent="0.2"/>
    <row r="158" s="5" customFormat="1" ht="18" customHeight="1" x14ac:dyDescent="0.2"/>
    <row r="159" s="5" customFormat="1" ht="18" customHeight="1" x14ac:dyDescent="0.2"/>
    <row r="160" s="5" customFormat="1" ht="18" customHeight="1" x14ac:dyDescent="0.2"/>
    <row r="161" s="5" customFormat="1" ht="18" customHeight="1" x14ac:dyDescent="0.2"/>
    <row r="162" s="5" customFormat="1" ht="18" customHeight="1" x14ac:dyDescent="0.2"/>
    <row r="163" s="5" customFormat="1" ht="18" customHeight="1" x14ac:dyDescent="0.2"/>
    <row r="164" s="5" customFormat="1" ht="18" customHeight="1" x14ac:dyDescent="0.2"/>
    <row r="165" s="5" customFormat="1" ht="18" customHeight="1" x14ac:dyDescent="0.2"/>
    <row r="166" s="5" customFormat="1" ht="18" customHeight="1" x14ac:dyDescent="0.2"/>
    <row r="167" s="5" customFormat="1" ht="18" customHeight="1" x14ac:dyDescent="0.2"/>
    <row r="168" s="5" customFormat="1" ht="18" customHeight="1" x14ac:dyDescent="0.2"/>
    <row r="169" s="5" customFormat="1" ht="18" customHeight="1" x14ac:dyDescent="0.2"/>
    <row r="170" s="5" customFormat="1" ht="18" customHeight="1" x14ac:dyDescent="0.2"/>
    <row r="171" s="5" customFormat="1" ht="18" customHeight="1" x14ac:dyDescent="0.2"/>
    <row r="172" s="5" customFormat="1" ht="18" customHeight="1" x14ac:dyDescent="0.2"/>
    <row r="173" s="5" customFormat="1" ht="18" customHeight="1" x14ac:dyDescent="0.2"/>
    <row r="174" s="5" customFormat="1" ht="18" customHeight="1" x14ac:dyDescent="0.2"/>
    <row r="175" s="5" customFormat="1" ht="18" customHeight="1" x14ac:dyDescent="0.2"/>
    <row r="176" s="5" customFormat="1" ht="18" customHeight="1" x14ac:dyDescent="0.2"/>
    <row r="177" s="5" customFormat="1" ht="18" customHeight="1" x14ac:dyDescent="0.2"/>
    <row r="178" s="5" customFormat="1" ht="18" customHeight="1" x14ac:dyDescent="0.2"/>
    <row r="179" s="5" customFormat="1" ht="18" customHeight="1" x14ac:dyDescent="0.2"/>
    <row r="180" s="5" customFormat="1" ht="18" customHeight="1" x14ac:dyDescent="0.2"/>
    <row r="181" s="5" customFormat="1" ht="18" customHeight="1" x14ac:dyDescent="0.2"/>
    <row r="182" s="5" customFormat="1" ht="18" customHeight="1" x14ac:dyDescent="0.2"/>
    <row r="183" s="5" customFormat="1" ht="18" customHeight="1" x14ac:dyDescent="0.2"/>
    <row r="184" s="5" customFormat="1" ht="18" customHeight="1" x14ac:dyDescent="0.2"/>
    <row r="185" s="5" customFormat="1" ht="18" customHeight="1" x14ac:dyDescent="0.2"/>
    <row r="186" s="5" customFormat="1" ht="18" customHeight="1" x14ac:dyDescent="0.2"/>
    <row r="187" s="5" customFormat="1" ht="18" customHeight="1" x14ac:dyDescent="0.2"/>
    <row r="188" s="5" customFormat="1" ht="18" customHeight="1" x14ac:dyDescent="0.2"/>
    <row r="189" s="5" customFormat="1" ht="18" customHeight="1" x14ac:dyDescent="0.2"/>
    <row r="190" s="5" customFormat="1" ht="18" customHeight="1" x14ac:dyDescent="0.2"/>
    <row r="191" s="5" customFormat="1" ht="18" customHeight="1" x14ac:dyDescent="0.2"/>
    <row r="192" s="5" customFormat="1" ht="18" customHeight="1" x14ac:dyDescent="0.2"/>
    <row r="193" s="5" customFormat="1" ht="18" customHeight="1" x14ac:dyDescent="0.2"/>
    <row r="194" s="5" customFormat="1" ht="18" customHeight="1" x14ac:dyDescent="0.2"/>
    <row r="195" s="5" customFormat="1" ht="18" customHeight="1" x14ac:dyDescent="0.2"/>
    <row r="196" s="5" customFormat="1" ht="18" customHeight="1" x14ac:dyDescent="0.2"/>
    <row r="197" s="5" customFormat="1" ht="18" customHeight="1" x14ac:dyDescent="0.2"/>
    <row r="198" s="5" customFormat="1" ht="18" customHeight="1" x14ac:dyDescent="0.2"/>
    <row r="199" s="5" customFormat="1" ht="18" customHeight="1" x14ac:dyDescent="0.2"/>
    <row r="200" s="5" customFormat="1" ht="18" customHeight="1" x14ac:dyDescent="0.2"/>
    <row r="201" s="5" customFormat="1" ht="18" customHeight="1" x14ac:dyDescent="0.2"/>
  </sheetData>
  <dataValidations count="3">
    <dataValidation type="list" allowBlank="1" showInputMessage="1" showErrorMessage="1" sqref="N4 N6:N201" xr:uid="{00000000-0002-0000-0500-000000000000}">
      <formula1>"healthy,disease"</formula1>
    </dataValidation>
    <dataValidation type="list" allowBlank="1" showInputMessage="1" showErrorMessage="1" sqref="R4 R6:R201" xr:uid="{00000000-0002-0000-0500-000001000000}">
      <formula1>"male,female,mixed,unknown"</formula1>
    </dataValidation>
    <dataValidation type="list" allowBlank="1" showInputMessage="1" showErrorMessage="1" sqref="S4 S6:S201" xr:uid="{00000000-0002-0000-0500-000002000000}">
      <formula1>"PATO_0000383,PATO_0000384,PATO_0001894"</formula1>
    </dataValidation>
  </dataValidations>
  <hyperlinks>
    <hyperlink ref="E7" r:id="rId1" xr:uid="{DF453A78-73CF-7B4F-BCA0-2AD1F3B0C58B}"/>
    <hyperlink ref="E8" r:id="rId2" xr:uid="{2550F63D-D44F-9F46-89C8-2DEB07501572}"/>
    <hyperlink ref="E3" r:id="rId3" xr:uid="{16664FD4-CD5D-3D4F-B119-866D0CD400D8}"/>
    <hyperlink ref="G5" r:id="rId4" display="https://doi.org/10.1126/science.aad6970" xr:uid="{FE665AED-DE50-BD47-AA31-C425F1331E0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00"/>
  <sheetViews>
    <sheetView tabSelected="1" workbookViewId="0">
      <pane ySplit="3" topLeftCell="A4" activePane="bottomLeft" state="frozen"/>
      <selection pane="bottomLeft" activeCell="C14" sqref="C14"/>
    </sheetView>
  </sheetViews>
  <sheetFormatPr baseColWidth="10" defaultColWidth="8.83203125" defaultRowHeight="15" x14ac:dyDescent="0.2"/>
  <cols>
    <col min="1" max="1" width="16.6640625" customWidth="1"/>
    <col min="2" max="2" width="14.6640625" customWidth="1"/>
    <col min="3" max="3" width="30.6640625" customWidth="1"/>
    <col min="4" max="4" width="15.6640625" customWidth="1"/>
    <col min="5" max="5" width="18.6640625" customWidth="1"/>
    <col min="6" max="7" width="24.6640625" customWidth="1"/>
    <col min="8" max="8" width="20.6640625" customWidth="1"/>
    <col min="9" max="9" width="15.6640625" customWidth="1"/>
  </cols>
  <sheetData>
    <row r="1" spans="1:9" ht="42" customHeight="1" x14ac:dyDescent="0.2">
      <c r="A1" s="1" t="s">
        <v>235</v>
      </c>
      <c r="B1" s="1" t="s">
        <v>236</v>
      </c>
      <c r="C1" s="1" t="s">
        <v>237</v>
      </c>
      <c r="D1" s="1" t="s">
        <v>238</v>
      </c>
      <c r="E1" s="1" t="s">
        <v>239</v>
      </c>
      <c r="F1" s="1" t="s">
        <v>240</v>
      </c>
      <c r="G1" s="1" t="s">
        <v>241</v>
      </c>
      <c r="H1" s="1" t="s">
        <v>242</v>
      </c>
      <c r="I1" s="1" t="s">
        <v>242</v>
      </c>
    </row>
    <row r="2" spans="1:9" ht="22" customHeight="1" x14ac:dyDescent="0.2">
      <c r="A2" s="2" t="s">
        <v>74</v>
      </c>
      <c r="B2" s="2" t="s">
        <v>243</v>
      </c>
      <c r="C2" s="2" t="s">
        <v>244</v>
      </c>
      <c r="D2" s="3" t="s">
        <v>245</v>
      </c>
      <c r="E2" s="3" t="s">
        <v>246</v>
      </c>
      <c r="F2" s="3" t="s">
        <v>247</v>
      </c>
      <c r="G2" s="3" t="s">
        <v>248</v>
      </c>
      <c r="H2" s="3" t="s">
        <v>249</v>
      </c>
      <c r="I2" s="3" t="s">
        <v>76</v>
      </c>
    </row>
    <row r="3" spans="1:9" ht="36" customHeight="1" x14ac:dyDescent="0.2">
      <c r="A3" s="4" t="s">
        <v>84</v>
      </c>
      <c r="B3" s="4" t="s">
        <v>250</v>
      </c>
      <c r="C3" s="4" t="s">
        <v>251</v>
      </c>
      <c r="D3" s="4" t="s">
        <v>252</v>
      </c>
      <c r="E3" s="4" t="s">
        <v>253</v>
      </c>
      <c r="F3" s="4" t="s">
        <v>254</v>
      </c>
      <c r="G3" s="4" t="s">
        <v>255</v>
      </c>
      <c r="H3" s="4" t="s">
        <v>256</v>
      </c>
      <c r="I3" s="4"/>
    </row>
    <row r="4" spans="1:9" s="5" customFormat="1" ht="18" customHeight="1" x14ac:dyDescent="0.2">
      <c r="A4" s="5" t="s">
        <v>257</v>
      </c>
      <c r="B4" s="5" t="s">
        <v>250</v>
      </c>
      <c r="C4" s="5" t="s">
        <v>251</v>
      </c>
      <c r="D4" s="5" t="s">
        <v>258</v>
      </c>
      <c r="E4" s="5" t="s">
        <v>259</v>
      </c>
      <c r="F4" s="5" t="s">
        <v>260</v>
      </c>
    </row>
    <row r="5" spans="1:9" s="5" customFormat="1" ht="18" customHeight="1" x14ac:dyDescent="0.2">
      <c r="A5" s="5" t="s">
        <v>90</v>
      </c>
      <c r="B5" s="5" t="s">
        <v>250</v>
      </c>
      <c r="C5" s="5" t="s">
        <v>251</v>
      </c>
      <c r="D5" s="5" t="s">
        <v>261</v>
      </c>
      <c r="F5" s="5" t="s">
        <v>262</v>
      </c>
    </row>
    <row r="6" spans="1:9" s="5" customFormat="1" ht="18" customHeight="1" x14ac:dyDescent="0.2">
      <c r="A6" s="5" t="s">
        <v>99</v>
      </c>
      <c r="B6" s="5" t="s">
        <v>250</v>
      </c>
      <c r="C6" s="5" t="s">
        <v>251</v>
      </c>
      <c r="H6" s="5" t="s">
        <v>263</v>
      </c>
    </row>
    <row r="7" spans="1:9" s="5" customFormat="1" ht="18" customHeight="1" x14ac:dyDescent="0.2">
      <c r="A7" s="5" t="s">
        <v>104</v>
      </c>
      <c r="B7" s="5" t="s">
        <v>250</v>
      </c>
      <c r="C7" s="5" t="s">
        <v>251</v>
      </c>
      <c r="H7" s="5" t="s">
        <v>264</v>
      </c>
    </row>
    <row r="8" spans="1:9" s="5" customFormat="1" ht="18" customHeight="1" x14ac:dyDescent="0.2">
      <c r="A8" s="5" t="s">
        <v>107</v>
      </c>
      <c r="B8" s="5" t="s">
        <v>250</v>
      </c>
      <c r="C8" s="5" t="s">
        <v>251</v>
      </c>
    </row>
    <row r="9" spans="1:9" s="5" customFormat="1" ht="18" customHeight="1" x14ac:dyDescent="0.2">
      <c r="A9" s="5" t="s">
        <v>169</v>
      </c>
      <c r="B9" s="5" t="s">
        <v>250</v>
      </c>
      <c r="C9" s="5" t="s">
        <v>265</v>
      </c>
      <c r="D9" s="5" t="s">
        <v>266</v>
      </c>
      <c r="G9" s="5" t="s">
        <v>267</v>
      </c>
    </row>
    <row r="10" spans="1:9" s="5" customFormat="1" ht="18" customHeight="1" x14ac:dyDescent="0.2">
      <c r="A10" s="5" t="s">
        <v>174</v>
      </c>
      <c r="B10" s="5" t="s">
        <v>268</v>
      </c>
      <c r="C10" s="5" t="s">
        <v>265</v>
      </c>
      <c r="H10" s="5" t="s">
        <v>269</v>
      </c>
    </row>
    <row r="11" spans="1:9" s="5" customFormat="1" ht="18" customHeight="1" x14ac:dyDescent="0.2">
      <c r="A11" s="5" t="s">
        <v>325</v>
      </c>
      <c r="B11" s="5" t="s">
        <v>268</v>
      </c>
      <c r="C11" s="5" t="s">
        <v>337</v>
      </c>
      <c r="H11" s="5" t="s">
        <v>326</v>
      </c>
    </row>
    <row r="12" spans="1:9" s="5" customFormat="1" ht="18" customHeight="1" x14ac:dyDescent="0.2"/>
    <row r="13" spans="1:9" s="5" customFormat="1" ht="18" customHeight="1" x14ac:dyDescent="0.2"/>
    <row r="14" spans="1:9" s="5" customFormat="1" ht="18" customHeight="1" x14ac:dyDescent="0.2"/>
    <row r="15" spans="1:9" s="5" customFormat="1" ht="18" customHeight="1" x14ac:dyDescent="0.2"/>
    <row r="16" spans="1:9" s="5" customFormat="1" ht="18" customHeight="1" x14ac:dyDescent="0.2"/>
    <row r="17" s="5" customFormat="1" ht="18" customHeight="1" x14ac:dyDescent="0.2"/>
    <row r="18" s="5" customFormat="1" ht="18" customHeight="1" x14ac:dyDescent="0.2"/>
    <row r="19" s="5" customFormat="1" ht="18" customHeight="1" x14ac:dyDescent="0.2"/>
    <row r="20" s="5" customFormat="1" ht="18" customHeight="1" x14ac:dyDescent="0.2"/>
    <row r="21" s="5" customFormat="1" ht="18" customHeight="1" x14ac:dyDescent="0.2"/>
    <row r="22" s="5" customFormat="1" ht="18" customHeight="1" x14ac:dyDescent="0.2"/>
    <row r="23" s="5" customFormat="1" ht="18" customHeight="1" x14ac:dyDescent="0.2"/>
    <row r="24" s="5" customFormat="1" ht="18" customHeight="1" x14ac:dyDescent="0.2"/>
    <row r="25" s="5" customFormat="1" ht="18" customHeight="1" x14ac:dyDescent="0.2"/>
    <row r="26" s="5" customFormat="1" ht="18" customHeight="1" x14ac:dyDescent="0.2"/>
    <row r="27" s="5" customFormat="1" ht="18" customHeight="1" x14ac:dyDescent="0.2"/>
    <row r="28" s="5" customFormat="1" ht="18" customHeight="1" x14ac:dyDescent="0.2"/>
    <row r="29" s="5" customFormat="1" ht="18" customHeight="1" x14ac:dyDescent="0.2"/>
    <row r="30" s="5" customFormat="1" ht="18" customHeight="1" x14ac:dyDescent="0.2"/>
    <row r="31" s="5" customFormat="1" ht="18" customHeight="1" x14ac:dyDescent="0.2"/>
    <row r="32" s="5" customFormat="1" ht="18" customHeight="1" x14ac:dyDescent="0.2"/>
    <row r="33" s="5" customFormat="1" ht="18" customHeight="1" x14ac:dyDescent="0.2"/>
    <row r="34" s="5" customFormat="1" ht="18" customHeight="1" x14ac:dyDescent="0.2"/>
    <row r="35" s="5" customFormat="1" ht="18" customHeight="1" x14ac:dyDescent="0.2"/>
    <row r="36" s="5" customFormat="1" ht="18" customHeight="1" x14ac:dyDescent="0.2"/>
    <row r="37" s="5" customFormat="1" ht="18" customHeight="1" x14ac:dyDescent="0.2"/>
    <row r="38" s="5" customFormat="1" ht="18" customHeight="1" x14ac:dyDescent="0.2"/>
    <row r="39" s="5" customFormat="1" ht="18" customHeight="1" x14ac:dyDescent="0.2"/>
    <row r="40" s="5" customFormat="1" ht="18" customHeight="1" x14ac:dyDescent="0.2"/>
    <row r="41" s="5" customFormat="1" ht="18" customHeight="1" x14ac:dyDescent="0.2"/>
    <row r="42" s="5" customFormat="1" ht="18" customHeight="1" x14ac:dyDescent="0.2"/>
    <row r="43" s="5" customFormat="1" ht="18" customHeight="1" x14ac:dyDescent="0.2"/>
    <row r="44" s="5" customFormat="1" ht="18" customHeight="1" x14ac:dyDescent="0.2"/>
    <row r="45" s="5" customFormat="1" ht="18" customHeight="1" x14ac:dyDescent="0.2"/>
    <row r="46" s="5" customFormat="1" ht="18" customHeight="1" x14ac:dyDescent="0.2"/>
    <row r="47" s="5" customFormat="1" ht="18" customHeight="1" x14ac:dyDescent="0.2"/>
    <row r="48" s="5" customFormat="1" ht="18" customHeight="1" x14ac:dyDescent="0.2"/>
    <row r="49" s="5" customFormat="1" ht="18" customHeight="1" x14ac:dyDescent="0.2"/>
    <row r="50" s="5" customFormat="1" ht="18" customHeight="1" x14ac:dyDescent="0.2"/>
    <row r="51" s="5" customFormat="1" ht="18" customHeight="1" x14ac:dyDescent="0.2"/>
    <row r="52" s="5" customFormat="1" ht="18" customHeight="1" x14ac:dyDescent="0.2"/>
    <row r="53" s="5" customFormat="1" ht="18" customHeight="1" x14ac:dyDescent="0.2"/>
    <row r="54" s="5" customFormat="1" ht="18" customHeight="1" x14ac:dyDescent="0.2"/>
    <row r="55" s="5" customFormat="1" ht="18" customHeight="1" x14ac:dyDescent="0.2"/>
    <row r="56" s="5" customFormat="1" ht="18" customHeight="1" x14ac:dyDescent="0.2"/>
    <row r="57" s="5" customFormat="1" ht="18" customHeight="1" x14ac:dyDescent="0.2"/>
    <row r="58" s="5" customFormat="1" ht="18" customHeight="1" x14ac:dyDescent="0.2"/>
    <row r="59" s="5" customFormat="1" ht="18" customHeight="1" x14ac:dyDescent="0.2"/>
    <row r="60" s="5" customFormat="1" ht="18" customHeight="1" x14ac:dyDescent="0.2"/>
    <row r="61" s="5" customFormat="1" ht="18" customHeight="1" x14ac:dyDescent="0.2"/>
    <row r="62" s="5" customFormat="1" ht="18" customHeight="1" x14ac:dyDescent="0.2"/>
    <row r="63" s="5" customFormat="1" ht="18" customHeight="1" x14ac:dyDescent="0.2"/>
    <row r="64" s="5" customFormat="1" ht="18" customHeight="1" x14ac:dyDescent="0.2"/>
    <row r="65" s="5" customFormat="1" ht="18" customHeight="1" x14ac:dyDescent="0.2"/>
    <row r="66" s="5" customFormat="1" ht="18" customHeight="1" x14ac:dyDescent="0.2"/>
    <row r="67" s="5" customFormat="1" ht="18" customHeight="1" x14ac:dyDescent="0.2"/>
    <row r="68" s="5" customFormat="1" ht="18" customHeight="1" x14ac:dyDescent="0.2"/>
    <row r="69" s="5" customFormat="1" ht="18" customHeight="1" x14ac:dyDescent="0.2"/>
    <row r="70" s="5" customFormat="1" ht="18" customHeight="1" x14ac:dyDescent="0.2"/>
    <row r="71" s="5" customFormat="1" ht="18" customHeight="1" x14ac:dyDescent="0.2"/>
    <row r="72" s="5" customFormat="1" ht="18" customHeight="1" x14ac:dyDescent="0.2"/>
    <row r="73" s="5" customFormat="1" ht="18" customHeight="1" x14ac:dyDescent="0.2"/>
    <row r="74" s="5" customFormat="1" ht="18" customHeight="1" x14ac:dyDescent="0.2"/>
    <row r="75" s="5" customFormat="1" ht="18" customHeight="1" x14ac:dyDescent="0.2"/>
    <row r="76" s="5" customFormat="1" ht="18" customHeight="1" x14ac:dyDescent="0.2"/>
    <row r="77" s="5" customFormat="1" ht="18" customHeight="1" x14ac:dyDescent="0.2"/>
    <row r="78" s="5" customFormat="1" ht="18" customHeight="1" x14ac:dyDescent="0.2"/>
    <row r="79" s="5" customFormat="1" ht="18" customHeight="1" x14ac:dyDescent="0.2"/>
    <row r="80" s="5" customFormat="1" ht="18" customHeight="1" x14ac:dyDescent="0.2"/>
    <row r="81" s="5" customFormat="1" ht="18" customHeight="1" x14ac:dyDescent="0.2"/>
    <row r="82" s="5" customFormat="1" ht="18" customHeight="1" x14ac:dyDescent="0.2"/>
    <row r="83" s="5" customFormat="1" ht="18" customHeight="1" x14ac:dyDescent="0.2"/>
    <row r="84" s="5" customFormat="1" ht="18" customHeight="1" x14ac:dyDescent="0.2"/>
    <row r="85" s="5" customFormat="1" ht="18" customHeight="1" x14ac:dyDescent="0.2"/>
    <row r="86" s="5" customFormat="1" ht="18" customHeight="1" x14ac:dyDescent="0.2"/>
    <row r="87" s="5" customFormat="1" ht="18" customHeight="1" x14ac:dyDescent="0.2"/>
    <row r="88" s="5" customFormat="1" ht="18" customHeight="1" x14ac:dyDescent="0.2"/>
    <row r="89" s="5" customFormat="1" ht="18" customHeight="1" x14ac:dyDescent="0.2"/>
    <row r="90" s="5" customFormat="1" ht="18" customHeight="1" x14ac:dyDescent="0.2"/>
    <row r="91" s="5" customFormat="1" ht="18" customHeight="1" x14ac:dyDescent="0.2"/>
    <row r="92" s="5" customFormat="1" ht="18" customHeight="1" x14ac:dyDescent="0.2"/>
    <row r="93" s="5" customFormat="1" ht="18" customHeight="1" x14ac:dyDescent="0.2"/>
    <row r="94" s="5" customFormat="1" ht="18" customHeight="1" x14ac:dyDescent="0.2"/>
    <row r="95" s="5" customFormat="1" ht="18" customHeight="1" x14ac:dyDescent="0.2"/>
    <row r="96" s="5" customFormat="1" ht="18" customHeight="1" x14ac:dyDescent="0.2"/>
    <row r="97" s="5" customFormat="1" ht="18" customHeight="1" x14ac:dyDescent="0.2"/>
    <row r="98" s="5" customFormat="1" ht="18" customHeight="1" x14ac:dyDescent="0.2"/>
    <row r="99" s="5" customFormat="1" ht="18" customHeight="1" x14ac:dyDescent="0.2"/>
    <row r="100" s="5" customFormat="1" ht="18" customHeight="1" x14ac:dyDescent="0.2"/>
    <row r="101" s="5" customFormat="1" ht="18" customHeight="1" x14ac:dyDescent="0.2"/>
    <row r="102" s="5" customFormat="1" ht="18" customHeight="1" x14ac:dyDescent="0.2"/>
    <row r="103" s="5" customFormat="1" ht="18" customHeight="1" x14ac:dyDescent="0.2"/>
    <row r="104" s="5" customFormat="1" ht="18" customHeight="1" x14ac:dyDescent="0.2"/>
    <row r="105" s="5" customFormat="1" ht="18" customHeight="1" x14ac:dyDescent="0.2"/>
    <row r="106" s="5" customFormat="1" ht="18" customHeight="1" x14ac:dyDescent="0.2"/>
    <row r="107" s="5" customFormat="1" ht="18" customHeight="1" x14ac:dyDescent="0.2"/>
    <row r="108" s="5" customFormat="1" ht="18" customHeight="1" x14ac:dyDescent="0.2"/>
    <row r="109" s="5" customFormat="1" ht="18" customHeight="1" x14ac:dyDescent="0.2"/>
    <row r="110" s="5" customFormat="1" ht="18" customHeight="1" x14ac:dyDescent="0.2"/>
    <row r="111" s="5" customFormat="1" ht="18" customHeight="1" x14ac:dyDescent="0.2"/>
    <row r="112" s="5" customFormat="1" ht="18" customHeight="1" x14ac:dyDescent="0.2"/>
    <row r="113" s="5" customFormat="1" ht="18" customHeight="1" x14ac:dyDescent="0.2"/>
    <row r="114" s="5" customFormat="1" ht="18" customHeight="1" x14ac:dyDescent="0.2"/>
    <row r="115" s="5" customFormat="1" ht="18" customHeight="1" x14ac:dyDescent="0.2"/>
    <row r="116" s="5" customFormat="1" ht="18" customHeight="1" x14ac:dyDescent="0.2"/>
    <row r="117" s="5" customFormat="1" ht="18" customHeight="1" x14ac:dyDescent="0.2"/>
    <row r="118" s="5" customFormat="1" ht="18" customHeight="1" x14ac:dyDescent="0.2"/>
    <row r="119" s="5" customFormat="1" ht="18" customHeight="1" x14ac:dyDescent="0.2"/>
    <row r="120" s="5" customFormat="1" ht="18" customHeight="1" x14ac:dyDescent="0.2"/>
    <row r="121" s="5" customFormat="1" ht="18" customHeight="1" x14ac:dyDescent="0.2"/>
    <row r="122" s="5" customFormat="1" ht="18" customHeight="1" x14ac:dyDescent="0.2"/>
    <row r="123" s="5" customFormat="1" ht="18" customHeight="1" x14ac:dyDescent="0.2"/>
    <row r="124" s="5" customFormat="1" ht="18" customHeight="1" x14ac:dyDescent="0.2"/>
    <row r="125" s="5" customFormat="1" ht="18" customHeight="1" x14ac:dyDescent="0.2"/>
    <row r="126" s="5" customFormat="1" ht="18" customHeight="1" x14ac:dyDescent="0.2"/>
    <row r="127" s="5" customFormat="1" ht="18" customHeight="1" x14ac:dyDescent="0.2"/>
    <row r="128" s="5" customFormat="1" ht="18" customHeight="1" x14ac:dyDescent="0.2"/>
    <row r="129" s="5" customFormat="1" ht="18" customHeight="1" x14ac:dyDescent="0.2"/>
    <row r="130" s="5" customFormat="1" ht="18" customHeight="1" x14ac:dyDescent="0.2"/>
    <row r="131" s="5" customFormat="1" ht="18" customHeight="1" x14ac:dyDescent="0.2"/>
    <row r="132" s="5" customFormat="1" ht="18" customHeight="1" x14ac:dyDescent="0.2"/>
    <row r="133" s="5" customFormat="1" ht="18" customHeight="1" x14ac:dyDescent="0.2"/>
    <row r="134" s="5" customFormat="1" ht="18" customHeight="1" x14ac:dyDescent="0.2"/>
    <row r="135" s="5" customFormat="1" ht="18" customHeight="1" x14ac:dyDescent="0.2"/>
    <row r="136" s="5" customFormat="1" ht="18" customHeight="1" x14ac:dyDescent="0.2"/>
    <row r="137" s="5" customFormat="1" ht="18" customHeight="1" x14ac:dyDescent="0.2"/>
    <row r="138" s="5" customFormat="1" ht="18" customHeight="1" x14ac:dyDescent="0.2"/>
    <row r="139" s="5" customFormat="1" ht="18" customHeight="1" x14ac:dyDescent="0.2"/>
    <row r="140" s="5" customFormat="1" ht="18" customHeight="1" x14ac:dyDescent="0.2"/>
    <row r="141" s="5" customFormat="1" ht="18" customHeight="1" x14ac:dyDescent="0.2"/>
    <row r="142" s="5" customFormat="1" ht="18" customHeight="1" x14ac:dyDescent="0.2"/>
    <row r="143" s="5" customFormat="1" ht="18" customHeight="1" x14ac:dyDescent="0.2"/>
    <row r="144" s="5" customFormat="1" ht="18" customHeight="1" x14ac:dyDescent="0.2"/>
    <row r="145" s="5" customFormat="1" ht="18" customHeight="1" x14ac:dyDescent="0.2"/>
    <row r="146" s="5" customFormat="1" ht="18" customHeight="1" x14ac:dyDescent="0.2"/>
    <row r="147" s="5" customFormat="1" ht="18" customHeight="1" x14ac:dyDescent="0.2"/>
    <row r="148" s="5" customFormat="1" ht="18" customHeight="1" x14ac:dyDescent="0.2"/>
    <row r="149" s="5" customFormat="1" ht="18" customHeight="1" x14ac:dyDescent="0.2"/>
    <row r="150" s="5" customFormat="1" ht="18" customHeight="1" x14ac:dyDescent="0.2"/>
    <row r="151" s="5" customFormat="1" ht="18" customHeight="1" x14ac:dyDescent="0.2"/>
    <row r="152" s="5" customFormat="1" ht="18" customHeight="1" x14ac:dyDescent="0.2"/>
    <row r="153" s="5" customFormat="1" ht="18" customHeight="1" x14ac:dyDescent="0.2"/>
    <row r="154" s="5" customFormat="1" ht="18" customHeight="1" x14ac:dyDescent="0.2"/>
    <row r="155" s="5" customFormat="1" ht="18" customHeight="1" x14ac:dyDescent="0.2"/>
    <row r="156" s="5" customFormat="1" ht="18" customHeight="1" x14ac:dyDescent="0.2"/>
    <row r="157" s="5" customFormat="1" ht="18" customHeight="1" x14ac:dyDescent="0.2"/>
    <row r="158" s="5" customFormat="1" ht="18" customHeight="1" x14ac:dyDescent="0.2"/>
    <row r="159" s="5" customFormat="1" ht="18" customHeight="1" x14ac:dyDescent="0.2"/>
    <row r="160" s="5" customFormat="1" ht="18" customHeight="1" x14ac:dyDescent="0.2"/>
    <row r="161" s="5" customFormat="1" ht="18" customHeight="1" x14ac:dyDescent="0.2"/>
    <row r="162" s="5" customFormat="1" ht="18" customHeight="1" x14ac:dyDescent="0.2"/>
    <row r="163" s="5" customFormat="1" ht="18" customHeight="1" x14ac:dyDescent="0.2"/>
    <row r="164" s="5" customFormat="1" ht="18" customHeight="1" x14ac:dyDescent="0.2"/>
    <row r="165" s="5" customFormat="1" ht="18" customHeight="1" x14ac:dyDescent="0.2"/>
    <row r="166" s="5" customFormat="1" ht="18" customHeight="1" x14ac:dyDescent="0.2"/>
    <row r="167" s="5" customFormat="1" ht="18" customHeight="1" x14ac:dyDescent="0.2"/>
    <row r="168" s="5" customFormat="1" ht="18" customHeight="1" x14ac:dyDescent="0.2"/>
    <row r="169" s="5" customFormat="1" ht="18" customHeight="1" x14ac:dyDescent="0.2"/>
    <row r="170" s="5" customFormat="1" ht="18" customHeight="1" x14ac:dyDescent="0.2"/>
    <row r="171" s="5" customFormat="1" ht="18" customHeight="1" x14ac:dyDescent="0.2"/>
    <row r="172" s="5" customFormat="1" ht="18" customHeight="1" x14ac:dyDescent="0.2"/>
    <row r="173" s="5" customFormat="1" ht="18" customHeight="1" x14ac:dyDescent="0.2"/>
    <row r="174" s="5" customFormat="1" ht="18" customHeight="1" x14ac:dyDescent="0.2"/>
    <row r="175" s="5" customFormat="1" ht="18" customHeight="1" x14ac:dyDescent="0.2"/>
    <row r="176" s="5" customFormat="1" ht="18" customHeight="1" x14ac:dyDescent="0.2"/>
    <row r="177" s="5" customFormat="1" ht="18" customHeight="1" x14ac:dyDescent="0.2"/>
    <row r="178" s="5" customFormat="1" ht="18" customHeight="1" x14ac:dyDescent="0.2"/>
    <row r="179" s="5" customFormat="1" ht="18" customHeight="1" x14ac:dyDescent="0.2"/>
    <row r="180" s="5" customFormat="1" ht="18" customHeight="1" x14ac:dyDescent="0.2"/>
    <row r="181" s="5" customFormat="1" ht="18" customHeight="1" x14ac:dyDescent="0.2"/>
    <row r="182" s="5" customFormat="1" ht="18" customHeight="1" x14ac:dyDescent="0.2"/>
    <row r="183" s="5" customFormat="1" ht="18" customHeight="1" x14ac:dyDescent="0.2"/>
    <row r="184" s="5" customFormat="1" ht="18" customHeight="1" x14ac:dyDescent="0.2"/>
    <row r="185" s="5" customFormat="1" ht="18" customHeight="1" x14ac:dyDescent="0.2"/>
    <row r="186" s="5" customFormat="1" ht="18" customHeight="1" x14ac:dyDescent="0.2"/>
    <row r="187" s="5" customFormat="1" ht="18" customHeight="1" x14ac:dyDescent="0.2"/>
    <row r="188" s="5" customFormat="1" ht="18" customHeight="1" x14ac:dyDescent="0.2"/>
    <row r="189" s="5" customFormat="1" ht="18" customHeight="1" x14ac:dyDescent="0.2"/>
    <row r="190" s="5" customFormat="1" ht="18" customHeight="1" x14ac:dyDescent="0.2"/>
    <row r="191" s="5" customFormat="1" ht="18" customHeight="1" x14ac:dyDescent="0.2"/>
    <row r="192" s="5" customFormat="1" ht="18" customHeight="1" x14ac:dyDescent="0.2"/>
    <row r="193" s="5" customFormat="1" ht="18" customHeight="1" x14ac:dyDescent="0.2"/>
    <row r="194" s="5" customFormat="1" ht="18" customHeight="1" x14ac:dyDescent="0.2"/>
    <row r="195" s="5" customFormat="1" ht="18" customHeight="1" x14ac:dyDescent="0.2"/>
    <row r="196" s="5" customFormat="1" ht="18" customHeight="1" x14ac:dyDescent="0.2"/>
    <row r="197" s="5" customFormat="1" ht="18" customHeight="1" x14ac:dyDescent="0.2"/>
    <row r="198" s="5" customFormat="1" ht="18" customHeight="1" x14ac:dyDescent="0.2"/>
    <row r="199" s="5" customFormat="1" ht="18" customHeight="1" x14ac:dyDescent="0.2"/>
    <row r="200" s="5" customFormat="1" ht="18" customHeight="1" x14ac:dyDescent="0.2"/>
  </sheetData>
  <dataValidations count="2">
    <dataValidation type="list" allowBlank="1" showInputMessage="1" showErrorMessage="1" sqref="B4:B200" xr:uid="{00000000-0002-0000-0600-000000000000}">
      <formula1>"software,manual"</formula1>
    </dataValidation>
    <dataValidation type="list" allowBlank="1" showInputMessage="1" showErrorMessage="1" sqref="C4:C200" xr:uid="{00000000-0002-0000-0600-000001000000}">
      <formula1>"ECO_0000218,ECO_0000203,ECO_0007674,ECO_0007673"</formula1>
    </dataValidation>
  </dataValidations>
  <hyperlinks>
    <hyperlink ref="F3" r:id="rId1" xr:uid="{00000000-0004-0000-06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DatasetDescription</vt:lpstr>
      <vt:lpstr>GenomicIdentifier</vt:lpstr>
      <vt:lpstr>Evidence</vt:lpstr>
      <vt:lpstr>validation</vt:lpstr>
      <vt:lpstr>Integration</vt:lpstr>
      <vt:lpstr>Source</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Yue Ji</cp:lastModifiedBy>
  <dcterms:created xsi:type="dcterms:W3CDTF">2025-12-22T21:20:00Z</dcterms:created>
  <dcterms:modified xsi:type="dcterms:W3CDTF">2026-06-12T21:42:34Z</dcterms:modified>
</cp:coreProperties>
</file>