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eji/Documents/GitHub/PEGASUS_metadata_template/test_data/"/>
    </mc:Choice>
  </mc:AlternateContent>
  <xr:revisionPtr revIDLastSave="0" documentId="13_ncr:1_{4025F829-0731-1747-934D-20C6AFC753E5}" xr6:coauthVersionLast="47" xr6:coauthVersionMax="47" xr10:uidLastSave="{00000000-0000-0000-0000-000000000000}"/>
  <bookViews>
    <workbookView xWindow="1140" yWindow="660" windowWidth="28800" windowHeight="17380" xr2:uid="{00000000-000D-0000-FFFF-FFFF00000000}"/>
  </bookViews>
  <sheets>
    <sheet name="DatasetDescription" sheetId="1" r:id="rId1"/>
    <sheet name="GenomicIdentifier" sheetId="2" r:id="rId2"/>
    <sheet name="Evidence" sheetId="3" r:id="rId3"/>
    <sheet name="validation" sheetId="4" state="hidden" r:id="rId4"/>
    <sheet name="Integration" sheetId="5" r:id="rId5"/>
    <sheet name="Source" sheetId="6" r:id="rId6"/>
    <sheet name="Metho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D149" i="3"/>
  <c r="E149" i="3"/>
  <c r="D33" i="3"/>
  <c r="E33" i="3"/>
  <c r="D126" i="3"/>
  <c r="E126" i="3"/>
  <c r="E55" i="3"/>
  <c r="D55" i="3"/>
  <c r="E36" i="3"/>
  <c r="D36" i="3"/>
  <c r="D42" i="3"/>
  <c r="E42" i="3"/>
  <c r="E19" i="3"/>
  <c r="D19" i="3"/>
  <c r="D102" i="3"/>
  <c r="E102" i="3"/>
  <c r="D197" i="3"/>
  <c r="E197" i="3"/>
  <c r="D112" i="3"/>
  <c r="E112" i="3"/>
  <c r="D109" i="3"/>
  <c r="E109" i="3"/>
  <c r="E158" i="3"/>
  <c r="D158" i="3"/>
  <c r="D125" i="3"/>
  <c r="E125" i="3"/>
  <c r="E105" i="3"/>
  <c r="D105" i="3"/>
  <c r="E123" i="3"/>
  <c r="D123" i="3"/>
  <c r="E91" i="3"/>
  <c r="D91" i="3"/>
  <c r="D143" i="3"/>
  <c r="E143" i="3"/>
  <c r="D157" i="3"/>
  <c r="E157" i="3"/>
  <c r="E38" i="3"/>
  <c r="D38" i="3"/>
  <c r="D48" i="3"/>
  <c r="E48" i="3"/>
  <c r="D72" i="3"/>
  <c r="E72" i="3"/>
  <c r="E182" i="3"/>
  <c r="D182" i="3"/>
  <c r="E16" i="3"/>
  <c r="D16" i="3"/>
  <c r="D169" i="3"/>
  <c r="E169" i="3"/>
  <c r="D154" i="3"/>
  <c r="E154" i="3"/>
  <c r="E147" i="3"/>
  <c r="D147" i="3"/>
  <c r="D190" i="3"/>
  <c r="E190" i="3"/>
  <c r="E164" i="3"/>
  <c r="D164" i="3"/>
  <c r="E93" i="3"/>
  <c r="D93" i="3"/>
  <c r="E77" i="3"/>
  <c r="D77" i="3"/>
  <c r="E12" i="3"/>
  <c r="D12" i="3"/>
  <c r="E122" i="3"/>
  <c r="D122" i="3"/>
  <c r="E165" i="3"/>
  <c r="D165" i="3"/>
  <c r="D94" i="3"/>
  <c r="E94" i="3"/>
  <c r="D151" i="3"/>
  <c r="E151" i="3"/>
  <c r="E117" i="3"/>
  <c r="D117" i="3"/>
  <c r="D9" i="3"/>
  <c r="E9" i="3"/>
  <c r="E100" i="3"/>
  <c r="D100" i="3"/>
  <c r="D87" i="3"/>
  <c r="E87" i="3"/>
  <c r="E189" i="3"/>
  <c r="D189" i="3"/>
  <c r="D152" i="3"/>
  <c r="E152" i="3"/>
  <c r="D160" i="3"/>
  <c r="E160" i="3"/>
  <c r="D124" i="3"/>
  <c r="E124" i="3"/>
  <c r="D121" i="3"/>
  <c r="E121" i="3"/>
  <c r="D188" i="3"/>
  <c r="E188" i="3"/>
  <c r="D99" i="3"/>
  <c r="E99" i="3"/>
  <c r="D101" i="3"/>
  <c r="E101" i="3"/>
  <c r="D85" i="3"/>
  <c r="E85" i="3"/>
  <c r="E156" i="3"/>
  <c r="D156" i="3"/>
  <c r="E43" i="3"/>
  <c r="D43" i="3"/>
  <c r="D176" i="3"/>
  <c r="E176" i="3"/>
  <c r="E92" i="3"/>
  <c r="D92" i="3"/>
  <c r="E59" i="3"/>
  <c r="D59" i="3"/>
  <c r="D20" i="3"/>
  <c r="E20" i="3"/>
  <c r="D111" i="3"/>
  <c r="E111" i="3"/>
  <c r="E98" i="3"/>
  <c r="D98" i="3"/>
  <c r="D11" i="3"/>
  <c r="E11" i="3"/>
  <c r="D192" i="3"/>
  <c r="E192" i="3"/>
  <c r="D129" i="3"/>
  <c r="E129" i="3"/>
  <c r="E116" i="3"/>
  <c r="D116" i="3"/>
  <c r="D137" i="3"/>
  <c r="E137" i="3"/>
  <c r="D130" i="3"/>
  <c r="E130" i="3"/>
  <c r="E161" i="3"/>
  <c r="D161" i="3"/>
  <c r="D195" i="3"/>
  <c r="E195" i="3"/>
  <c r="E133" i="3"/>
  <c r="D133" i="3"/>
  <c r="D146" i="3"/>
  <c r="E146" i="3"/>
  <c r="E118" i="3"/>
  <c r="D118" i="3"/>
  <c r="E88" i="3"/>
  <c r="D88" i="3"/>
  <c r="E30" i="3"/>
  <c r="D30" i="3"/>
  <c r="E62" i="3"/>
  <c r="D62" i="3"/>
  <c r="D193" i="3"/>
  <c r="E193" i="3"/>
  <c r="D107" i="3"/>
  <c r="E107" i="3"/>
  <c r="D79" i="3"/>
  <c r="E79" i="3"/>
  <c r="D13" i="3"/>
  <c r="E13" i="3"/>
  <c r="E71" i="3"/>
  <c r="D71" i="3"/>
  <c r="D54" i="3"/>
  <c r="E54" i="3"/>
  <c r="D49" i="3"/>
  <c r="E49" i="3"/>
  <c r="D191" i="3"/>
  <c r="E191" i="3"/>
  <c r="E108" i="3"/>
  <c r="D108" i="3"/>
  <c r="E155" i="3"/>
  <c r="D155" i="3"/>
  <c r="D25" i="3"/>
  <c r="E25" i="3"/>
  <c r="E60" i="3"/>
  <c r="D60" i="3"/>
  <c r="D162" i="3"/>
  <c r="E162" i="3"/>
  <c r="D46" i="3"/>
  <c r="E46" i="3"/>
  <c r="E26" i="3"/>
  <c r="D26" i="3"/>
  <c r="D14" i="3"/>
  <c r="E14" i="3"/>
  <c r="D67" i="3"/>
  <c r="E67" i="3"/>
  <c r="D70" i="3"/>
  <c r="E70" i="3"/>
  <c r="D174" i="3"/>
  <c r="E174" i="3"/>
  <c r="E196" i="3"/>
  <c r="D196" i="3"/>
  <c r="D114" i="3"/>
  <c r="E114" i="3"/>
  <c r="E177" i="3"/>
  <c r="D177" i="3"/>
  <c r="E119" i="3"/>
  <c r="D119" i="3"/>
  <c r="E69" i="3"/>
  <c r="D69" i="3"/>
  <c r="E89" i="3"/>
  <c r="D89" i="3"/>
  <c r="E45" i="3"/>
  <c r="D45" i="3"/>
  <c r="E187" i="3"/>
  <c r="D187" i="3"/>
  <c r="D84" i="3"/>
  <c r="E84" i="3"/>
  <c r="E31" i="3"/>
  <c r="D31" i="3"/>
  <c r="E40" i="3"/>
  <c r="D40" i="3"/>
  <c r="D86" i="3"/>
  <c r="E86" i="3"/>
  <c r="E22" i="3"/>
  <c r="D22" i="3"/>
  <c r="D179" i="3"/>
  <c r="E179" i="3"/>
  <c r="E58" i="3"/>
  <c r="D58" i="3"/>
  <c r="D172" i="3"/>
  <c r="E172" i="3"/>
  <c r="D199" i="3"/>
  <c r="E199" i="3"/>
  <c r="E28" i="3"/>
  <c r="D28" i="3"/>
  <c r="E134" i="3"/>
  <c r="D134" i="3"/>
  <c r="D52" i="3"/>
  <c r="E52" i="3"/>
  <c r="E170" i="3"/>
  <c r="D170" i="3"/>
  <c r="D120" i="3"/>
  <c r="E120" i="3"/>
  <c r="D27" i="3"/>
  <c r="E27" i="3"/>
  <c r="D175" i="3"/>
  <c r="E175" i="3"/>
  <c r="E68" i="3"/>
  <c r="D68" i="3"/>
  <c r="D15" i="3"/>
  <c r="E15" i="3"/>
  <c r="E113" i="3"/>
  <c r="D113" i="3"/>
  <c r="D63" i="3"/>
  <c r="E63" i="3"/>
  <c r="D78" i="3"/>
  <c r="E78" i="3"/>
  <c r="E73" i="3"/>
  <c r="D73" i="3"/>
  <c r="E159" i="3"/>
  <c r="D159" i="3"/>
  <c r="D141" i="3"/>
  <c r="E141" i="3"/>
  <c r="D110" i="3"/>
  <c r="E110" i="3"/>
  <c r="D57" i="3"/>
  <c r="E57" i="3"/>
  <c r="E173" i="3"/>
  <c r="D173" i="3"/>
  <c r="D32" i="3"/>
  <c r="E32" i="3"/>
  <c r="D186" i="3"/>
  <c r="E186" i="3"/>
  <c r="D163" i="3"/>
  <c r="E163" i="3"/>
  <c r="D198" i="3"/>
  <c r="E198" i="3"/>
  <c r="D82" i="3"/>
  <c r="E82" i="3"/>
  <c r="D150" i="3"/>
  <c r="E150" i="3"/>
  <c r="D148" i="3"/>
  <c r="E148" i="3"/>
  <c r="E138" i="3"/>
  <c r="D138" i="3"/>
  <c r="D139" i="3"/>
  <c r="E139" i="3"/>
  <c r="E97" i="3"/>
  <c r="D97" i="3"/>
  <c r="E17" i="3"/>
  <c r="D17" i="3"/>
  <c r="D39" i="3"/>
  <c r="E39" i="3"/>
  <c r="D181" i="3"/>
  <c r="E181" i="3"/>
  <c r="D24" i="3"/>
  <c r="E24" i="3"/>
  <c r="D53" i="3"/>
  <c r="E53" i="3"/>
  <c r="D184" i="3"/>
  <c r="E184" i="3"/>
  <c r="D10" i="3"/>
  <c r="E10" i="3"/>
  <c r="D90" i="3"/>
  <c r="E90" i="3"/>
  <c r="E106" i="3"/>
  <c r="D106" i="3"/>
  <c r="E136" i="3"/>
  <c r="D136" i="3"/>
  <c r="E131" i="3"/>
  <c r="D131" i="3"/>
  <c r="D66" i="3"/>
  <c r="E66" i="3"/>
  <c r="D37" i="3"/>
  <c r="E37" i="3"/>
  <c r="D140" i="3"/>
  <c r="E140" i="3"/>
  <c r="E35" i="3"/>
  <c r="D35" i="3"/>
  <c r="E142" i="3"/>
  <c r="D142" i="3"/>
  <c r="D103" i="3"/>
  <c r="E103" i="3"/>
  <c r="D115" i="3"/>
  <c r="E115" i="3"/>
  <c r="D104" i="3"/>
  <c r="E104" i="3"/>
  <c r="D50" i="3"/>
  <c r="E50" i="3"/>
  <c r="D61" i="3"/>
  <c r="E61" i="3"/>
  <c r="E168" i="3"/>
  <c r="D168" i="3"/>
  <c r="D144" i="3"/>
  <c r="E144" i="3"/>
  <c r="E65" i="3"/>
  <c r="D65" i="3"/>
  <c r="D18" i="3"/>
  <c r="E18" i="3"/>
  <c r="D95" i="3"/>
  <c r="E95" i="3"/>
  <c r="D83" i="3"/>
  <c r="E83" i="3"/>
  <c r="E56" i="3"/>
  <c r="D56" i="3"/>
  <c r="D75" i="3"/>
  <c r="E75" i="3"/>
  <c r="E44" i="3"/>
  <c r="D44" i="3"/>
  <c r="D132" i="3"/>
  <c r="E132" i="3"/>
  <c r="E167" i="3"/>
  <c r="D167" i="3"/>
  <c r="D96" i="3"/>
  <c r="E96" i="3"/>
  <c r="E185" i="3"/>
  <c r="D185" i="3"/>
  <c r="D47" i="3"/>
  <c r="E47" i="3"/>
  <c r="E23" i="3"/>
  <c r="D23" i="3"/>
  <c r="E200" i="3"/>
  <c r="D200" i="3"/>
  <c r="E127" i="3"/>
  <c r="D127" i="3"/>
  <c r="E166" i="3"/>
  <c r="D166" i="3"/>
  <c r="E34" i="3"/>
  <c r="D34" i="3"/>
  <c r="E194" i="3"/>
  <c r="D194" i="3"/>
  <c r="E64" i="3"/>
  <c r="D64" i="3"/>
  <c r="E171" i="3"/>
  <c r="D171" i="3"/>
  <c r="D178" i="3"/>
  <c r="E178" i="3"/>
  <c r="D128" i="3"/>
  <c r="E128" i="3"/>
  <c r="E74" i="3"/>
  <c r="D74" i="3"/>
  <c r="D81" i="3"/>
  <c r="E81" i="3"/>
  <c r="D29" i="3"/>
  <c r="E29" i="3"/>
  <c r="E145" i="3"/>
  <c r="D145" i="3"/>
  <c r="E135" i="3"/>
  <c r="D135" i="3"/>
  <c r="D80" i="3"/>
  <c r="E80" i="3"/>
  <c r="E180" i="3"/>
  <c r="D180" i="3"/>
  <c r="E153" i="3"/>
  <c r="D153" i="3"/>
  <c r="D183" i="3"/>
  <c r="E183" i="3"/>
  <c r="E21" i="3"/>
  <c r="D21" i="3"/>
  <c r="E41" i="3"/>
  <c r="D41" i="3"/>
  <c r="E51" i="3"/>
  <c r="D51" i="3"/>
  <c r="D76" i="3"/>
  <c r="E76" i="3"/>
</calcChain>
</file>

<file path=xl/sharedStrings.xml><?xml version="1.0" encoding="utf-8"?>
<sst xmlns="http://schemas.openxmlformats.org/spreadsheetml/2006/main" count="387" uniqueCount="265">
  <si>
    <t>Free-text description of the phenotype under investigation.</t>
  </si>
  <si>
    <t>Standard ontology identifier mapped to the trait (e.g., EFO, MONDO, HPO, DOID).</t>
  </si>
  <si>
    <t>Identifier of the GWAS source. Prefer GWAS Catalog accession (GCST); if not available, use PubMed ID, doi, url</t>
  </si>
  <si>
    <t>Identifier of the origin of the PEG list (e.g., publication, DOI, preprint, URL).</t>
  </si>
  <si>
    <t>Detailed description of the GWAS samples.</t>
  </si>
  <si>
    <t>Total number of individuals included in the GWAS analysis.</t>
  </si>
  <si>
    <t>Indicator of whether the GWAS design is case–control (TRUE or FALSE).</t>
  </si>
  <si>
    <t>Free-text description of participant ancestry</t>
  </si>
  <si>
    <t>Broad ancestry category that best describes the sample. Multiple values can be listed separated by '|'.</t>
  </si>
  <si>
    <t>trait_description</t>
  </si>
  <si>
    <t>trait_ontology_id</t>
  </si>
  <si>
    <t>gwas_source</t>
  </si>
  <si>
    <t>peg_source</t>
  </si>
  <si>
    <t>gwas_samples_description</t>
  </si>
  <si>
    <t>gwas_sample_size</t>
  </si>
  <si>
    <t>gwas_case_control_study</t>
  </si>
  <si>
    <t>gwas_sample_ancestry</t>
  </si>
  <si>
    <t>gwas_sample_ancestry_label</t>
  </si>
  <si>
    <t>Ascorbic acid 3-sulfate levels</t>
  </si>
  <si>
    <t>EFO_0800173</t>
  </si>
  <si>
    <t>GCST000001</t>
  </si>
  <si>
    <t>PMID:36357675</t>
  </si>
  <si>
    <t>6,136 Finnish ancestry individuals</t>
  </si>
  <si>
    <t>Finland</t>
  </si>
  <si>
    <t>European</t>
  </si>
  <si>
    <t>Explanation of how the main variant was selected  (e.g., lead, sentinel, index, mixed).</t>
  </si>
  <si>
    <t>Genome assembly used to map variants.</t>
  </si>
  <si>
    <t>Additional free-text notes about the variant</t>
  </si>
  <si>
    <t>Version of the source database used for gene symbols/IDs (e.g., HGNC version).</t>
  </si>
  <si>
    <t>Version of the gene symbol reference authority</t>
  </si>
  <si>
    <t>Additional gene-level metadata that supports interpretation.</t>
  </si>
  <si>
    <t>Method used to define locus boundaries</t>
  </si>
  <si>
    <t>Provide the explanation of how the identifier was derived</t>
  </si>
  <si>
    <t>Additional information supporting locus interpretation.</t>
  </si>
  <si>
    <t>variant_type</t>
  </si>
  <si>
    <t>genome_build</t>
  </si>
  <si>
    <t>variant_information</t>
  </si>
  <si>
    <t>gene_id_source_version</t>
  </si>
  <si>
    <t>gene_symbol_source_version</t>
  </si>
  <si>
    <t>info</t>
  </si>
  <si>
    <t>locus_type</t>
  </si>
  <si>
    <t>locus_id</t>
  </si>
  <si>
    <t>locus_info</t>
  </si>
  <si>
    <t>lead</t>
  </si>
  <si>
    <t>GRCh38</t>
  </si>
  <si>
    <t>The primary variant is the variant with the most significant association p-value in the study</t>
  </si>
  <si>
    <t>Ensembl v109</t>
  </si>
  <si>
    <t>HGNC 2025-07-30</t>
  </si>
  <si>
    <t>NA</t>
  </si>
  <si>
    <t>lead_variant +/- 500kb</t>
  </si>
  <si>
    <t>lead_variant</t>
  </si>
  <si>
    <t>Locus information</t>
  </si>
  <si>
    <t>Unique column name used in the PEG evidence matrix.</t>
  </si>
  <si>
    <t>Free text explanation of the content in this column..</t>
  </si>
  <si>
    <t>Specific analysis stream within the evidence category.</t>
  </si>
  <si>
    <t>Full evidence category name from the controlled list.</t>
  </si>
  <si>
    <t>Short label assigned from the controlled list of evidence categories.</t>
  </si>
  <si>
    <t>Indicates whether the evidence originates from variant-level or gene-level analysis.</t>
  </si>
  <si>
    <t>Identifier for the data source, created in the source tab.</t>
  </si>
  <si>
    <t>Identifier for the analysis method, created in the method tab.</t>
  </si>
  <si>
    <t>Threshold applied to define significance or inclusion criteria.</t>
  </si>
  <si>
    <t>Additional free text clarifications to aid interpretation.</t>
  </si>
  <si>
    <t>column_header</t>
  </si>
  <si>
    <t>column_description</t>
  </si>
  <si>
    <t>evidence_stream_tag</t>
  </si>
  <si>
    <t>evidence_category</t>
  </si>
  <si>
    <t>evidence_category_abbreviation</t>
  </si>
  <si>
    <t>variant_or_gene_centric</t>
  </si>
  <si>
    <t>source_tag</t>
  </si>
  <si>
    <t>method_tag</t>
  </si>
  <si>
    <t>threshold</t>
  </si>
  <si>
    <t>note</t>
  </si>
  <si>
    <t>QTL_eQTL-aorta (p_value)</t>
  </si>
  <si>
    <t>p-value from eQTL analysis in aorta tissue</t>
  </si>
  <si>
    <t>eQTL</t>
  </si>
  <si>
    <t>Molecular QTL</t>
  </si>
  <si>
    <t>QTL</t>
  </si>
  <si>
    <t>variant-centric</t>
  </si>
  <si>
    <t>source_gtex_aorta</t>
  </si>
  <si>
    <t>soft_fastqtl</t>
  </si>
  <si>
    <t>p_value &lt; 0.05</t>
  </si>
  <si>
    <t>CHROMATIN</t>
  </si>
  <si>
    <t>Chromatin interaction</t>
  </si>
  <si>
    <t>COLOC</t>
  </si>
  <si>
    <t>Colocalisation</t>
  </si>
  <si>
    <t>CROSSP</t>
  </si>
  <si>
    <t>Cross-phenotype</t>
  </si>
  <si>
    <t>DB</t>
  </si>
  <si>
    <t>Association from curated database</t>
  </si>
  <si>
    <t>DRUG</t>
  </si>
  <si>
    <t>Drug related</t>
  </si>
  <si>
    <t>EXP</t>
  </si>
  <si>
    <t>Expression</t>
  </si>
  <si>
    <t>FINEMAP</t>
  </si>
  <si>
    <t>Finemapping and credible sets</t>
  </si>
  <si>
    <t>FUNC</t>
  </si>
  <si>
    <t>Predicted functional impact</t>
  </si>
  <si>
    <t>GENEBASE</t>
  </si>
  <si>
    <t>Gene-based association</t>
  </si>
  <si>
    <t>GWAS</t>
  </si>
  <si>
    <t>Genome-wide association (GWAS) signal</t>
  </si>
  <si>
    <t>KNOW</t>
  </si>
  <si>
    <t>Biological Knowledge Inference</t>
  </si>
  <si>
    <t>LD</t>
  </si>
  <si>
    <t>Linkage disequilibrium</t>
  </si>
  <si>
    <t>LIT</t>
  </si>
  <si>
    <t>Literature curation</t>
  </si>
  <si>
    <t>MR</t>
  </si>
  <si>
    <t>Mendelian Randomization (MR)</t>
  </si>
  <si>
    <t>PERTURB</t>
  </si>
  <si>
    <t>Perturbation</t>
  </si>
  <si>
    <t>PHEWAS</t>
  </si>
  <si>
    <t>PheWAS (Phenome-Wide Association Study)</t>
  </si>
  <si>
    <t>PPI</t>
  </si>
  <si>
    <t>Protein–protein interaction</t>
  </si>
  <si>
    <t>PROX</t>
  </si>
  <si>
    <t>Proximity to gene (distance)</t>
  </si>
  <si>
    <t>REG</t>
  </si>
  <si>
    <t>Regulatory region</t>
  </si>
  <si>
    <t>SET</t>
  </si>
  <si>
    <t>Pathway or gene sets</t>
  </si>
  <si>
    <t>TPWAS</t>
  </si>
  <si>
    <t>Genetically predicted trait association (TWAS/PWAS)</t>
  </si>
  <si>
    <t>Author-assigned analysis name that can be cited as evidence in the integrated_analysis_name field.</t>
  </si>
  <si>
    <t>Free text explanation of the content in this column.</t>
  </si>
  <si>
    <t>Indicates when values in this column reflect the authors’ conclusions for defining the PEG list. NOTE: only **ONE** column per matrix can be assiged as `True`. We recommend including the string 'author_conclusion' in the appropirate column header.</t>
  </si>
  <si>
    <t>A list of variant-centric or gene-centric evidence stream names combined in the integration.</t>
  </si>
  <si>
    <t>A list of integration_tag values from other integration analyses that are included in this integration analysis</t>
  </si>
  <si>
    <t>Identifier for the analysis method (from Method tab).</t>
  </si>
  <si>
    <t>Extra details to aid interpretation.</t>
  </si>
  <si>
    <t>integration_tag</t>
  </si>
  <si>
    <t>author_conclusion</t>
  </si>
  <si>
    <t>evidence_streams_included</t>
  </si>
  <si>
    <t>integrations_included</t>
  </si>
  <si>
    <t>notes</t>
  </si>
  <si>
    <t>pops</t>
  </si>
  <si>
    <t>INT_pops</t>
  </si>
  <si>
    <t>Integrated score based on multiple evidence types for the gene</t>
  </si>
  <si>
    <t>TRUE</t>
  </si>
  <si>
    <t>FUNC | eQTL | pQTL | FM | 3d |PHEWAS |TWAS</t>
  </si>
  <si>
    <t>pops | flames</t>
  </si>
  <si>
    <t>soft_pops</t>
  </si>
  <si>
    <t>0.05</t>
  </si>
  <si>
    <t>Unique identifier for the source.</t>
  </si>
  <si>
    <t>Provenance type indicating the origin of the data source. Use lab_internal for unpublished data generated by your lab. Use publication for published data not deposited in a repository. Use the official name of the resource (e.g., GTEx, ENCODE).</t>
  </si>
  <si>
    <t>Exact filename of the source dataset.</t>
  </si>
  <si>
    <t>Version or release of the dataset.</t>
  </si>
  <si>
    <t>Web link to the source file used in the analysis.</t>
  </si>
  <si>
    <t>Accession identifier if the source file comes from the repository.</t>
  </si>
  <si>
    <t>DOI for the publication containing the source file.</t>
  </si>
  <si>
    <t>Biological origin of the sample (e.g., primary-tissue, organoid, cell-line, iPSC-derived).</t>
  </si>
  <si>
    <t>Primary tissue sampled (detailed anatomical location).</t>
  </si>
  <si>
    <t>Specific cell type, if applicable.</t>
  </si>
  <si>
    <t>Cell line name if sample_origin is "cell-line".</t>
  </si>
  <si>
    <t>Disease status of the donor or sample.</t>
  </si>
  <si>
    <t>Developmental stage of the biosample.</t>
  </si>
  <si>
    <t>Treatments or perturbations applied prior to or during data generation.</t>
  </si>
  <si>
    <t>Sex composition of samples.</t>
  </si>
  <si>
    <t>Species of the sample.</t>
  </si>
  <si>
    <t>Brief summary of sample characteristics and intended use.</t>
  </si>
  <si>
    <t>provenance</t>
  </si>
  <si>
    <t>file_name</t>
  </si>
  <si>
    <t>version</t>
  </si>
  <si>
    <t>url</t>
  </si>
  <si>
    <t>accession_id</t>
  </si>
  <si>
    <t>doi</t>
  </si>
  <si>
    <t>sample_origin</t>
  </si>
  <si>
    <t>tissue</t>
  </si>
  <si>
    <t>cell_type</t>
  </si>
  <si>
    <t>cell_line</t>
  </si>
  <si>
    <t>disease</t>
  </si>
  <si>
    <t>life_stage</t>
  </si>
  <si>
    <t>treatment</t>
  </si>
  <si>
    <t>sex</t>
  </si>
  <si>
    <t>species</t>
  </si>
  <si>
    <t>description</t>
  </si>
  <si>
    <t>GTEx</t>
  </si>
  <si>
    <t>GTEx_Analysis_2017-06-05_v8_RNASeQCv1.1.9_gene_tpm.gct.gz</t>
  </si>
  <si>
    <t>v8</t>
  </si>
  <si>
    <t>https://gtexportal.org/</t>
  </si>
  <si>
    <t>GSE123456</t>
  </si>
  <si>
    <t>10.1038/s41586-020-2493-4</t>
  </si>
  <si>
    <t>primary-tissue</t>
  </si>
  <si>
    <t>aorta</t>
  </si>
  <si>
    <t>alpha cells</t>
  </si>
  <si>
    <t>K562</t>
  </si>
  <si>
    <t>healthy</t>
  </si>
  <si>
    <t>adult</t>
  </si>
  <si>
    <t>anti-IgM treated</t>
  </si>
  <si>
    <t>mixed</t>
  </si>
  <si>
    <t>human</t>
  </si>
  <si>
    <t>Bulk pancreas tissue samples from healthy postmortem adult human donors in GTEx v10. Used for eQTL discovery. Samples span male and female donors aged approximately 20–70 years. No treatment applied.</t>
  </si>
  <si>
    <t>Unique identifier for the method, used in the PEG evidence and integration metadata.</t>
  </si>
  <si>
    <t>Specifies whether the method is a published software tool or a manual approach.</t>
  </si>
  <si>
    <t xml:space="preserve">Manual assertion:ECO_0000218; Automatic assertion:ECO_0000203;Manually integrated combinatorial evidence: ECO_0007674;Automatically integrated combinatorial evidence: ECO_0007673 </t>
  </si>
  <si>
    <t>Name of the software used.</t>
  </si>
  <si>
    <t>Version of the software used.</t>
  </si>
  <si>
    <t>Link to the official software resource.</t>
  </si>
  <si>
    <t>DOI of the software or associated publication.</t>
  </si>
  <si>
    <t>Detailed description of the method, workflow, or customisation applied.</t>
  </si>
  <si>
    <t>method_mode</t>
  </si>
  <si>
    <t>method_mode_ontology_term_id</t>
  </si>
  <si>
    <t>software_name</t>
  </si>
  <si>
    <t>software_version</t>
  </si>
  <si>
    <t>software_url</t>
  </si>
  <si>
    <t>software_doi</t>
  </si>
  <si>
    <t>method_description</t>
  </si>
  <si>
    <t>software</t>
  </si>
  <si>
    <t>ECO_0000203</t>
  </si>
  <si>
    <t>FastQTL</t>
  </si>
  <si>
    <t>v1.0</t>
  </si>
  <si>
    <t>https://github.com/francois-a/fastqtl</t>
  </si>
  <si>
    <t>10.1093/BIOINFORMATICS/BTV722</t>
  </si>
  <si>
    <t>Custom scoring model combining eQTL and chromatin interaction data.</t>
  </si>
  <si>
    <t>type 2 diabetes</t>
  </si>
  <si>
    <t>Lead SNP</t>
  </si>
  <si>
    <t>GWAS_pvalue</t>
  </si>
  <si>
    <t>Association p-value for each variant from the GWAS study</t>
  </si>
  <si>
    <t>source_cadd</t>
  </si>
  <si>
    <t>source_gtex_aorta_qtl</t>
  </si>
  <si>
    <t>source_gtex_aorta_rna</t>
  </si>
  <si>
    <t>source_impc</t>
  </si>
  <si>
    <t>Integrated score based on multiple evidence types for the prioritised gene</t>
  </si>
  <si>
    <t>FUNC | eQTL | pQTL | FM | 3D | PHEWAS | TWAS</t>
  </si>
  <si>
    <t>INT_author_score</t>
  </si>
  <si>
    <t>Combined prediction based on manual review of all evidence types and PoPS output</t>
  </si>
  <si>
    <t>author_score</t>
  </si>
  <si>
    <t>PROX | REG | LIT | PoPS</t>
  </si>
  <si>
    <t>method_customised</t>
  </si>
  <si>
    <t>CADD</t>
  </si>
  <si>
    <t>All possible SNVs of GRCh38/hg38 incl. all annotations</t>
  </si>
  <si>
    <t>v1.7</t>
  </si>
  <si>
    <t>https://kircherlab.bihealth.org/download/CADD/v1.7/GRCh38/whole_genome_SNVs.tsv.gz</t>
  </si>
  <si>
    <t>GTEx_Analysis_v10_eQTL.tar</t>
  </si>
  <si>
    <t>v10</t>
  </si>
  <si>
    <t>https://storage.googleapis.com/adult-gtex/bulk-qtl/v10/single-tissue-cis-qtl/GTEx_Analysis_v10_eQTL.tar</t>
  </si>
  <si>
    <t>primary tissue</t>
  </si>
  <si>
    <t>None</t>
  </si>
  <si>
    <t>GTEx_Analysis_v10_RNASeQCv2.4.2_gene_tpm.gct.gz</t>
  </si>
  <si>
    <t>https://storage.googleapis.com/adult-gtex/bulk-gex/v10/rna-seq/GTEx_Analysis_v10_RNASeQCv2.4.2_gene_tpm.gct.gz</t>
  </si>
  <si>
    <t>IMPC</t>
  </si>
  <si>
    <t>IMPC_genotype_phenotype.csv.gz</t>
  </si>
  <si>
    <t>https://ftp.ebi.ac.uk/pub/databases/impc/all-data-releases/release-01.0/csv/</t>
  </si>
  <si>
    <t>multiple</t>
  </si>
  <si>
    <t>IMPC mouse knockout models</t>
  </si>
  <si>
    <t>gene knockout</t>
  </si>
  <si>
    <t>Homo sapiens</t>
  </si>
  <si>
    <t>Mus musculus</t>
  </si>
  <si>
    <t>PoPS</t>
  </si>
  <si>
    <t>https://github.com/FinucaneLab/pops</t>
  </si>
  <si>
    <t>10.1038/s41588-023-01443-6</t>
  </si>
  <si>
    <t>manual</t>
  </si>
  <si>
    <t>An integrated prediction derived from expert review of all evidence types together with PoPS output. The strength of support for a gene is classified as weak, medium, or strong based on professional judgement:
• Weak — variant-centric evidence does not support the gene.
• Medium — variant-centric evidence supports the gene, but gene-centric evidence is lacking.
• Strong — both variant-centric and gene-centric evidence show consistent positive support for the gene.</t>
  </si>
  <si>
    <t>&gt;3</t>
  </si>
  <si>
    <t>"23"</t>
  </si>
  <si>
    <t>FUNC_CADD</t>
  </si>
  <si>
    <t>CADD score representing the predicted functional impact of the variant</t>
  </si>
  <si>
    <t>QTL_eQTL_aorta_pvalue</t>
  </si>
  <si>
    <t>p-value from expression QTL (eQTL) analysis in aorta tissue</t>
  </si>
  <si>
    <t>qvalue &lt; 0.05</t>
  </si>
  <si>
    <t>EXP_aorta_RPKM</t>
  </si>
  <si>
    <t>Gene expression level in aorta tissue, measured in RPKM</t>
  </si>
  <si>
    <t>gene-centric</t>
  </si>
  <si>
    <t>PERTURB_mouse</t>
  </si>
  <si>
    <t>Phenotypic effects of the gene from IMPC knockout mouse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</si>
</sst>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8E8E8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7B7B7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exend"/>
    </font>
    <font>
      <sz val="10"/>
      <color rgb="FF1C1E2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4" fillId="0" borderId="0" xfId="1"/>
    <xf numFmtId="0" fontId="9" fillId="0" borderId="0" xfId="0" applyFont="1"/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.googleapis.com/adult-gtex/bulk-gex/v10/rna-seq/GTEx_Analysis_v10_RNASeQCv2.4.2_gene_tpm.gct.gz" TargetMode="External"/><Relationship Id="rId2" Type="http://schemas.openxmlformats.org/officeDocument/2006/relationships/hyperlink" Target="https://storage.googleapis.com/adult-gtex/bulk-qtl/v10/single-tissue-cis-qtl/GTEx_Analysis_v10_eQTL.tar" TargetMode="External"/><Relationship Id="rId1" Type="http://schemas.openxmlformats.org/officeDocument/2006/relationships/hyperlink" Target="https://gtexportal.org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FinucaneLab/pops" TargetMode="External"/><Relationship Id="rId1" Type="http://schemas.openxmlformats.org/officeDocument/2006/relationships/hyperlink" Target="https://github.com/francois-a/fastq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pane ySplit="3" topLeftCell="A4" activePane="bottomLeft" state="frozen"/>
      <selection pane="bottomLeft" activeCell="G22" sqref="G22"/>
    </sheetView>
  </sheetViews>
  <sheetFormatPr baseColWidth="10" defaultColWidth="8.83203125" defaultRowHeight="15"/>
  <cols>
    <col min="1" max="2" width="19.6640625" customWidth="1"/>
    <col min="3" max="3" width="14.6640625" customWidth="1"/>
    <col min="4" max="4" width="17.6640625" customWidth="1"/>
    <col min="5" max="5" width="26.6640625" customWidth="1"/>
    <col min="6" max="6" width="18.6640625" customWidth="1"/>
    <col min="7" max="7" width="25.6640625" customWidth="1"/>
    <col min="8" max="8" width="22.6640625" customWidth="1"/>
    <col min="9" max="9" width="28.6640625" customWidth="1"/>
  </cols>
  <sheetData>
    <row r="1" spans="1:9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36" customHeight="1" thickBo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>
        <v>6136</v>
      </c>
      <c r="G3" s="4" t="b">
        <v>0</v>
      </c>
      <c r="H3" s="4" t="s">
        <v>23</v>
      </c>
      <c r="I3" s="4" t="s">
        <v>24</v>
      </c>
    </row>
    <row r="4" spans="1:9" s="5" customFormat="1" ht="18" customHeight="1">
      <c r="A4" s="5" t="s">
        <v>214</v>
      </c>
      <c r="B4" s="6" t="s">
        <v>19</v>
      </c>
      <c r="C4" s="6" t="s">
        <v>21</v>
      </c>
      <c r="D4" s="6" t="s">
        <v>21</v>
      </c>
      <c r="E4" s="6" t="s">
        <v>22</v>
      </c>
      <c r="F4" s="6">
        <v>6136</v>
      </c>
      <c r="G4" s="6" t="b">
        <v>0</v>
      </c>
      <c r="H4" s="6" t="s">
        <v>23</v>
      </c>
      <c r="I4" s="6" t="s">
        <v>24</v>
      </c>
    </row>
    <row r="5" spans="1:9" s="5" customFormat="1" ht="18" customHeight="1"/>
    <row r="6" spans="1:9" s="5" customFormat="1" ht="18" customHeight="1"/>
    <row r="7" spans="1:9" s="5" customFormat="1" ht="18" customHeight="1">
      <c r="A7" s="6"/>
    </row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G4:G6 G8:G200" xr:uid="{00000000-0002-0000-0000-000000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workbookViewId="0">
      <pane ySplit="3" topLeftCell="A4" activePane="bottomLeft" state="frozen"/>
      <selection pane="bottomLeft" activeCell="I14" sqref="I14"/>
    </sheetView>
  </sheetViews>
  <sheetFormatPr baseColWidth="10" defaultColWidth="8.83203125" defaultRowHeight="15"/>
  <cols>
    <col min="1" max="2" width="14.6640625" customWidth="1"/>
    <col min="3" max="3" width="21.6640625" customWidth="1"/>
    <col min="4" max="4" width="24.6640625" customWidth="1"/>
    <col min="5" max="5" width="28.6640625" customWidth="1"/>
    <col min="6" max="6" width="17.6640625" customWidth="1"/>
    <col min="7" max="8" width="16.6640625" customWidth="1"/>
    <col min="9" max="9" width="17.6640625" customWidth="1"/>
  </cols>
  <sheetData>
    <row r="1" spans="1:9" ht="42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22" customHeight="1">
      <c r="A2" s="3" t="s">
        <v>34</v>
      </c>
      <c r="B2" s="2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</row>
    <row r="3" spans="1:9" ht="36" customHeight="1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</row>
    <row r="4" spans="1:9" s="5" customFormat="1" ht="18" customHeight="1">
      <c r="A4" t="s">
        <v>43</v>
      </c>
      <c r="B4" s="7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103</v>
      </c>
      <c r="H4" t="s">
        <v>215</v>
      </c>
      <c r="I4" t="s">
        <v>48</v>
      </c>
    </row>
    <row r="5" spans="1:9" s="5" customFormat="1" ht="18" customHeight="1"/>
    <row r="6" spans="1:9" s="5" customFormat="1" ht="18" customHeight="1"/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B4:B200" xr:uid="{00000000-0002-0000-0100-000000000000}">
      <formula1>"GRCh37,GRCh38"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3" topLeftCell="A4" activePane="bottomLeft" state="frozen"/>
      <selection pane="bottomLeft" activeCell="G12" sqref="G12"/>
    </sheetView>
  </sheetViews>
  <sheetFormatPr baseColWidth="10" defaultColWidth="8.83203125" defaultRowHeight="15"/>
  <cols>
    <col min="1" max="1" width="18.6640625" customWidth="1"/>
    <col min="2" max="2" width="20.6640625" customWidth="1"/>
    <col min="3" max="3" width="21.6640625" customWidth="1"/>
    <col min="4" max="4" width="19.6640625" customWidth="1"/>
    <col min="5" max="5" width="32.6640625" customWidth="1"/>
    <col min="6" max="6" width="25.6640625" customWidth="1"/>
    <col min="7" max="7" width="21.6640625" customWidth="1"/>
    <col min="8" max="8" width="16.6640625" customWidth="1"/>
    <col min="9" max="9" width="14.6640625" customWidth="1"/>
    <col min="10" max="10" width="17.6640625" customWidth="1"/>
  </cols>
  <sheetData>
    <row r="1" spans="1:10" ht="42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 ht="22" customHeight="1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3" t="s">
        <v>70</v>
      </c>
      <c r="J2" s="3" t="s">
        <v>71</v>
      </c>
    </row>
    <row r="3" spans="1:10" ht="36" customHeight="1">
      <c r="A3" s="4" t="s">
        <v>72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  <c r="H3" s="4" t="s">
        <v>79</v>
      </c>
      <c r="I3" s="4" t="s">
        <v>80</v>
      </c>
      <c r="J3" s="4"/>
    </row>
    <row r="4" spans="1:10" s="5" customFormat="1" ht="18" customHeight="1">
      <c r="A4" s="8" t="s">
        <v>216</v>
      </c>
      <c r="B4" s="8" t="s">
        <v>217</v>
      </c>
      <c r="C4" s="8"/>
      <c r="D4" s="8" t="s">
        <v>100</v>
      </c>
      <c r="E4" s="5" t="str">
        <f>IF($D4="","",IFERROR(INDEX(validation!$A$2:$A$23,MATCH($D4,validation!$B$2:$B$23,0)),""))</f>
        <v>GWAS</v>
      </c>
      <c r="F4" s="8" t="s">
        <v>77</v>
      </c>
      <c r="G4" s="8"/>
      <c r="H4" s="8"/>
      <c r="I4" s="8"/>
      <c r="J4" s="8"/>
    </row>
    <row r="5" spans="1:10" s="5" customFormat="1" ht="18" customHeight="1">
      <c r="A5" t="s">
        <v>255</v>
      </c>
      <c r="B5" t="s">
        <v>256</v>
      </c>
      <c r="C5"/>
      <c r="D5" t="s">
        <v>96</v>
      </c>
      <c r="E5" s="7" t="s">
        <v>95</v>
      </c>
      <c r="F5" t="s">
        <v>77</v>
      </c>
      <c r="G5" t="s">
        <v>218</v>
      </c>
      <c r="H5" t="s">
        <v>48</v>
      </c>
      <c r="I5" t="s">
        <v>48</v>
      </c>
      <c r="J5" t="s">
        <v>48</v>
      </c>
    </row>
    <row r="6" spans="1:10" s="5" customFormat="1" ht="18" customHeight="1">
      <c r="A6" t="s">
        <v>257</v>
      </c>
      <c r="B6" t="s">
        <v>258</v>
      </c>
      <c r="C6" t="s">
        <v>74</v>
      </c>
      <c r="D6" t="s">
        <v>75</v>
      </c>
      <c r="E6" t="s">
        <v>76</v>
      </c>
      <c r="F6" t="s">
        <v>77</v>
      </c>
      <c r="G6" t="s">
        <v>219</v>
      </c>
      <c r="H6" t="s">
        <v>79</v>
      </c>
      <c r="I6" t="s">
        <v>259</v>
      </c>
      <c r="J6" t="s">
        <v>48</v>
      </c>
    </row>
    <row r="7" spans="1:10" s="5" customFormat="1" ht="18" customHeight="1">
      <c r="A7" t="s">
        <v>260</v>
      </c>
      <c r="B7" t="s">
        <v>261</v>
      </c>
      <c r="C7"/>
      <c r="D7" t="s">
        <v>92</v>
      </c>
      <c r="E7" t="s">
        <v>91</v>
      </c>
      <c r="F7" t="s">
        <v>262</v>
      </c>
      <c r="G7" t="s">
        <v>220</v>
      </c>
      <c r="H7" t="s">
        <v>48</v>
      </c>
      <c r="I7" t="s">
        <v>48</v>
      </c>
      <c r="J7" t="s">
        <v>48</v>
      </c>
    </row>
    <row r="8" spans="1:10" s="5" customFormat="1" ht="18" customHeight="1">
      <c r="A8" t="s">
        <v>263</v>
      </c>
      <c r="B8" t="s">
        <v>264</v>
      </c>
      <c r="C8"/>
      <c r="D8" t="s">
        <v>110</v>
      </c>
      <c r="E8" t="s">
        <v>109</v>
      </c>
      <c r="F8" t="s">
        <v>262</v>
      </c>
      <c r="G8" t="s">
        <v>221</v>
      </c>
      <c r="H8" t="s">
        <v>48</v>
      </c>
      <c r="I8" t="s">
        <v>48</v>
      </c>
      <c r="J8" t="s">
        <v>48</v>
      </c>
    </row>
    <row r="9" spans="1:10" s="5" customFormat="1" ht="18" customHeight="1">
      <c r="D9" s="5">
        <f ca="1">IF($E9="","",IFERROR(VLOOKUP($E9,validation!$A$2:$B$23,2,FALSE),""))</f>
        <v>0</v>
      </c>
      <c r="E9" s="5">
        <f ca="1">IF($D9="","",IFERROR(INDEX(validation!$A$2:$A$23,MATCH($D9,validation!$B$2:$B$23,0)),""))</f>
        <v>0</v>
      </c>
    </row>
    <row r="10" spans="1:10" s="5" customFormat="1" ht="18" customHeight="1">
      <c r="D10" s="5">
        <f ca="1">IF($E10="","",IFERROR(VLOOKUP($E10,validation!$A$2:$B$23,2,FALSE),""))</f>
        <v>0</v>
      </c>
      <c r="E10" s="5">
        <f ca="1">IF($D10="","",IFERROR(INDEX(validation!$A$2:$A$23,MATCH($D10,validation!$B$2:$B$23,0)),""))</f>
        <v>0</v>
      </c>
    </row>
    <row r="11" spans="1:10" s="5" customFormat="1" ht="18" customHeight="1">
      <c r="D11" s="5">
        <f ca="1">IF($E11="","",IFERROR(VLOOKUP($E11,validation!$A$2:$B$23,2,FALSE),""))</f>
        <v>0</v>
      </c>
      <c r="E11" s="5">
        <f ca="1">IF($D11="","",IFERROR(INDEX(validation!$A$2:$A$23,MATCH($D11,validation!$B$2:$B$23,0)),""))</f>
        <v>0</v>
      </c>
    </row>
    <row r="12" spans="1:10" s="5" customFormat="1" ht="18" customHeight="1">
      <c r="D12" s="5">
        <f ca="1">IF($E12="","",IFERROR(VLOOKUP($E12,validation!$A$2:$B$23,2,FALSE),""))</f>
        <v>0</v>
      </c>
      <c r="E12" s="5">
        <f ca="1">IF($D12="","",IFERROR(INDEX(validation!$A$2:$A$23,MATCH($D12,validation!$B$2:$B$23,0)),""))</f>
        <v>0</v>
      </c>
    </row>
    <row r="13" spans="1:10" s="5" customFormat="1" ht="18" customHeight="1">
      <c r="D13" s="5">
        <f ca="1">IF($E13="","",IFERROR(VLOOKUP($E13,validation!$A$2:$B$23,2,FALSE),""))</f>
        <v>0</v>
      </c>
      <c r="E13" s="5">
        <f ca="1">IF($D13="","",IFERROR(INDEX(validation!$A$2:$A$23,MATCH($D13,validation!$B$2:$B$23,0)),""))</f>
        <v>0</v>
      </c>
    </row>
    <row r="14" spans="1:10" s="5" customFormat="1" ht="18" customHeight="1">
      <c r="D14" s="5">
        <f ca="1">IF($E14="","",IFERROR(VLOOKUP($E14,validation!$A$2:$B$23,2,FALSE),""))</f>
        <v>0</v>
      </c>
      <c r="E14" s="5">
        <f ca="1">IF($D14="","",IFERROR(INDEX(validation!$A$2:$A$23,MATCH($D14,validation!$B$2:$B$23,0)),""))</f>
        <v>0</v>
      </c>
    </row>
    <row r="15" spans="1:10" s="5" customFormat="1" ht="18" customHeight="1">
      <c r="D15" s="5">
        <f ca="1">IF($E15="","",IFERROR(VLOOKUP($E15,validation!$A$2:$B$23,2,FALSE),""))</f>
        <v>0</v>
      </c>
      <c r="E15" s="5">
        <f ca="1">IF($D15="","",IFERROR(INDEX(validation!$A$2:$A$23,MATCH($D15,validation!$B$2:$B$23,0)),""))</f>
        <v>0</v>
      </c>
    </row>
    <row r="16" spans="1:10" s="5" customFormat="1" ht="18" customHeight="1">
      <c r="D16" s="5">
        <f ca="1">IF($E16="","",IFERROR(VLOOKUP($E16,validation!$A$2:$B$23,2,FALSE),""))</f>
        <v>0</v>
      </c>
      <c r="E16" s="5">
        <f ca="1">IF($D16="","",IFERROR(INDEX(validation!$A$2:$A$23,MATCH($D16,validation!$B$2:$B$23,0)),""))</f>
        <v>0</v>
      </c>
    </row>
    <row r="17" spans="4:5" s="5" customFormat="1" ht="18" customHeight="1">
      <c r="D17" s="5">
        <f ca="1">IF($E17="","",IFERROR(VLOOKUP($E17,validation!$A$2:$B$23,2,FALSE),""))</f>
        <v>0</v>
      </c>
      <c r="E17" s="5">
        <f ca="1">IF($D17="","",IFERROR(INDEX(validation!$A$2:$A$23,MATCH($D17,validation!$B$2:$B$23,0)),""))</f>
        <v>0</v>
      </c>
    </row>
    <row r="18" spans="4:5" s="5" customFormat="1" ht="18" customHeight="1">
      <c r="D18" s="5">
        <f ca="1">IF($E18="","",IFERROR(VLOOKUP($E18,validation!$A$2:$B$23,2,FALSE),""))</f>
        <v>0</v>
      </c>
      <c r="E18" s="5">
        <f ca="1">IF($D18="","",IFERROR(INDEX(validation!$A$2:$A$23,MATCH($D18,validation!$B$2:$B$23,0)),""))</f>
        <v>0</v>
      </c>
    </row>
    <row r="19" spans="4:5" s="5" customFormat="1" ht="18" customHeight="1">
      <c r="D19" s="5">
        <f ca="1">IF($E19="","",IFERROR(VLOOKUP($E19,validation!$A$2:$B$23,2,FALSE),""))</f>
        <v>0</v>
      </c>
      <c r="E19" s="5">
        <f ca="1">IF($D19="","",IFERROR(INDEX(validation!$A$2:$A$23,MATCH($D19,validation!$B$2:$B$23,0)),""))</f>
        <v>0</v>
      </c>
    </row>
    <row r="20" spans="4:5" s="5" customFormat="1" ht="18" customHeight="1">
      <c r="D20" s="5">
        <f ca="1">IF($E20="","",IFERROR(VLOOKUP($E20,validation!$A$2:$B$23,2,FALSE),""))</f>
        <v>0</v>
      </c>
      <c r="E20" s="5">
        <f ca="1">IF($D20="","",IFERROR(INDEX(validation!$A$2:$A$23,MATCH($D20,validation!$B$2:$B$23,0)),""))</f>
        <v>0</v>
      </c>
    </row>
    <row r="21" spans="4:5" s="5" customFormat="1" ht="18" customHeight="1">
      <c r="D21" s="5">
        <f ca="1">IF($E21="","",IFERROR(VLOOKUP($E21,validation!$A$2:$B$23,2,FALSE),""))</f>
        <v>0</v>
      </c>
      <c r="E21" s="5">
        <f ca="1">IF($D21="","",IFERROR(INDEX(validation!$A$2:$A$23,MATCH($D21,validation!$B$2:$B$23,0)),""))</f>
        <v>0</v>
      </c>
    </row>
    <row r="22" spans="4:5" s="5" customFormat="1" ht="18" customHeight="1">
      <c r="D22" s="5">
        <f ca="1">IF($E22="","",IFERROR(VLOOKUP($E22,validation!$A$2:$B$23,2,FALSE),""))</f>
        <v>0</v>
      </c>
      <c r="E22" s="5">
        <f ca="1">IF($D22="","",IFERROR(INDEX(validation!$A$2:$A$23,MATCH($D22,validation!$B$2:$B$23,0)),""))</f>
        <v>0</v>
      </c>
    </row>
    <row r="23" spans="4:5" s="5" customFormat="1" ht="18" customHeight="1">
      <c r="D23" s="5">
        <f ca="1">IF($E23="","",IFERROR(VLOOKUP($E23,validation!$A$2:$B$23,2,FALSE),""))</f>
        <v>0</v>
      </c>
      <c r="E23" s="5">
        <f ca="1">IF($D23="","",IFERROR(INDEX(validation!$A$2:$A$23,MATCH($D23,validation!$B$2:$B$23,0)),""))</f>
        <v>0</v>
      </c>
    </row>
    <row r="24" spans="4:5" s="5" customFormat="1" ht="18" customHeight="1">
      <c r="D24" s="5">
        <f ca="1">IF($E24="","",IFERROR(VLOOKUP($E24,validation!$A$2:$B$23,2,FALSE),""))</f>
        <v>0</v>
      </c>
      <c r="E24" s="5">
        <f ca="1">IF($D24="","",IFERROR(INDEX(validation!$A$2:$A$23,MATCH($D24,validation!$B$2:$B$23,0)),""))</f>
        <v>0</v>
      </c>
    </row>
    <row r="25" spans="4:5" s="5" customFormat="1" ht="18" customHeight="1">
      <c r="D25" s="5">
        <f ca="1">IF($E25="","",IFERROR(VLOOKUP($E25,validation!$A$2:$B$23,2,FALSE),""))</f>
        <v>0</v>
      </c>
      <c r="E25" s="5">
        <f ca="1">IF($D25="","",IFERROR(INDEX(validation!$A$2:$A$23,MATCH($D25,validation!$B$2:$B$23,0)),""))</f>
        <v>0</v>
      </c>
    </row>
    <row r="26" spans="4:5" s="5" customFormat="1" ht="18" customHeight="1">
      <c r="D26" s="5">
        <f ca="1">IF($E26="","",IFERROR(VLOOKUP($E26,validation!$A$2:$B$23,2,FALSE),""))</f>
        <v>0</v>
      </c>
      <c r="E26" s="5">
        <f ca="1">IF($D26="","",IFERROR(INDEX(validation!$A$2:$A$23,MATCH($D26,validation!$B$2:$B$23,0)),""))</f>
        <v>0</v>
      </c>
    </row>
    <row r="27" spans="4:5" s="5" customFormat="1" ht="18" customHeight="1">
      <c r="D27" s="5">
        <f ca="1">IF($E27="","",IFERROR(VLOOKUP($E27,validation!$A$2:$B$23,2,FALSE),""))</f>
        <v>0</v>
      </c>
      <c r="E27" s="5">
        <f ca="1">IF($D27="","",IFERROR(INDEX(validation!$A$2:$A$23,MATCH($D27,validation!$B$2:$B$23,0)),""))</f>
        <v>0</v>
      </c>
    </row>
    <row r="28" spans="4:5" s="5" customFormat="1" ht="18" customHeight="1">
      <c r="D28" s="5">
        <f ca="1">IF($E28="","",IFERROR(VLOOKUP($E28,validation!$A$2:$B$23,2,FALSE),""))</f>
        <v>0</v>
      </c>
      <c r="E28" s="5">
        <f ca="1">IF($D28="","",IFERROR(INDEX(validation!$A$2:$A$23,MATCH($D28,validation!$B$2:$B$23,0)),""))</f>
        <v>0</v>
      </c>
    </row>
    <row r="29" spans="4:5" s="5" customFormat="1" ht="18" customHeight="1">
      <c r="D29" s="5">
        <f ca="1">IF($E29="","",IFERROR(VLOOKUP($E29,validation!$A$2:$B$23,2,FALSE),""))</f>
        <v>0</v>
      </c>
      <c r="E29" s="5">
        <f ca="1">IF($D29="","",IFERROR(INDEX(validation!$A$2:$A$23,MATCH($D29,validation!$B$2:$B$23,0)),""))</f>
        <v>0</v>
      </c>
    </row>
    <row r="30" spans="4:5" s="5" customFormat="1" ht="18" customHeight="1">
      <c r="D30" s="5">
        <f ca="1">IF($E30="","",IFERROR(VLOOKUP($E30,validation!$A$2:$B$23,2,FALSE),""))</f>
        <v>0</v>
      </c>
      <c r="E30" s="5">
        <f ca="1">IF($D30="","",IFERROR(INDEX(validation!$A$2:$A$23,MATCH($D30,validation!$B$2:$B$23,0)),""))</f>
        <v>0</v>
      </c>
    </row>
    <row r="31" spans="4:5" s="5" customFormat="1" ht="18" customHeight="1">
      <c r="D31" s="5">
        <f ca="1">IF($E31="","",IFERROR(VLOOKUP($E31,validation!$A$2:$B$23,2,FALSE),""))</f>
        <v>0</v>
      </c>
      <c r="E31" s="5">
        <f ca="1">IF($D31="","",IFERROR(INDEX(validation!$A$2:$A$23,MATCH($D31,validation!$B$2:$B$23,0)),""))</f>
        <v>0</v>
      </c>
    </row>
    <row r="32" spans="4:5" s="5" customFormat="1" ht="18" customHeight="1">
      <c r="D32" s="5">
        <f ca="1">IF($E32="","",IFERROR(VLOOKUP($E32,validation!$A$2:$B$23,2,FALSE),""))</f>
        <v>0</v>
      </c>
      <c r="E32" s="5">
        <f ca="1">IF($D32="","",IFERROR(INDEX(validation!$A$2:$A$23,MATCH($D32,validation!$B$2:$B$23,0)),""))</f>
        <v>0</v>
      </c>
    </row>
    <row r="33" spans="4:5" s="5" customFormat="1" ht="18" customHeight="1">
      <c r="D33" s="5">
        <f ca="1">IF($E33="","",IFERROR(VLOOKUP($E33,validation!$A$2:$B$23,2,FALSE),""))</f>
        <v>0</v>
      </c>
      <c r="E33" s="5">
        <f ca="1">IF($D33="","",IFERROR(INDEX(validation!$A$2:$A$23,MATCH($D33,validation!$B$2:$B$23,0)),""))</f>
        <v>0</v>
      </c>
    </row>
    <row r="34" spans="4:5" s="5" customFormat="1" ht="18" customHeight="1">
      <c r="D34" s="5">
        <f ca="1">IF($E34="","",IFERROR(VLOOKUP($E34,validation!$A$2:$B$23,2,FALSE),""))</f>
        <v>0</v>
      </c>
      <c r="E34" s="5">
        <f ca="1">IF($D34="","",IFERROR(INDEX(validation!$A$2:$A$23,MATCH($D34,validation!$B$2:$B$23,0)),""))</f>
        <v>0</v>
      </c>
    </row>
    <row r="35" spans="4:5" s="5" customFormat="1" ht="18" customHeight="1">
      <c r="D35" s="5">
        <f ca="1">IF($E35="","",IFERROR(VLOOKUP($E35,validation!$A$2:$B$23,2,FALSE),""))</f>
        <v>0</v>
      </c>
      <c r="E35" s="5">
        <f ca="1">IF($D35="","",IFERROR(INDEX(validation!$A$2:$A$23,MATCH($D35,validation!$B$2:$B$23,0)),""))</f>
        <v>0</v>
      </c>
    </row>
    <row r="36" spans="4:5" s="5" customFormat="1" ht="18" customHeight="1">
      <c r="D36" s="5">
        <f ca="1">IF($E36="","",IFERROR(VLOOKUP($E36,validation!$A$2:$B$23,2,FALSE),""))</f>
        <v>0</v>
      </c>
      <c r="E36" s="5">
        <f ca="1">IF($D36="","",IFERROR(INDEX(validation!$A$2:$A$23,MATCH($D36,validation!$B$2:$B$23,0)),""))</f>
        <v>0</v>
      </c>
    </row>
    <row r="37" spans="4:5" s="5" customFormat="1" ht="18" customHeight="1">
      <c r="D37" s="5">
        <f ca="1">IF($E37="","",IFERROR(VLOOKUP($E37,validation!$A$2:$B$23,2,FALSE),""))</f>
        <v>0</v>
      </c>
      <c r="E37" s="5">
        <f ca="1">IF($D37="","",IFERROR(INDEX(validation!$A$2:$A$23,MATCH($D37,validation!$B$2:$B$23,0)),""))</f>
        <v>0</v>
      </c>
    </row>
    <row r="38" spans="4:5" s="5" customFormat="1" ht="18" customHeight="1">
      <c r="D38" s="5">
        <f ca="1">IF($E38="","",IFERROR(VLOOKUP($E38,validation!$A$2:$B$23,2,FALSE),""))</f>
        <v>0</v>
      </c>
      <c r="E38" s="5">
        <f ca="1">IF($D38="","",IFERROR(INDEX(validation!$A$2:$A$23,MATCH($D38,validation!$B$2:$B$23,0)),""))</f>
        <v>0</v>
      </c>
    </row>
    <row r="39" spans="4:5" s="5" customFormat="1" ht="18" customHeight="1">
      <c r="D39" s="5">
        <f ca="1">IF($E39="","",IFERROR(VLOOKUP($E39,validation!$A$2:$B$23,2,FALSE),""))</f>
        <v>0</v>
      </c>
      <c r="E39" s="5">
        <f ca="1">IF($D39="","",IFERROR(INDEX(validation!$A$2:$A$23,MATCH($D39,validation!$B$2:$B$23,0)),""))</f>
        <v>0</v>
      </c>
    </row>
    <row r="40" spans="4:5" s="5" customFormat="1" ht="18" customHeight="1">
      <c r="D40" s="5">
        <f ca="1">IF($E40="","",IFERROR(VLOOKUP($E40,validation!$A$2:$B$23,2,FALSE),""))</f>
        <v>0</v>
      </c>
      <c r="E40" s="5">
        <f ca="1">IF($D40="","",IFERROR(INDEX(validation!$A$2:$A$23,MATCH($D40,validation!$B$2:$B$23,0)),""))</f>
        <v>0</v>
      </c>
    </row>
    <row r="41" spans="4:5" s="5" customFormat="1" ht="18" customHeight="1">
      <c r="D41" s="5">
        <f ca="1">IF($E41="","",IFERROR(VLOOKUP($E41,validation!$A$2:$B$23,2,FALSE),""))</f>
        <v>0</v>
      </c>
      <c r="E41" s="5">
        <f ca="1">IF($D41="","",IFERROR(INDEX(validation!$A$2:$A$23,MATCH($D41,validation!$B$2:$B$23,0)),""))</f>
        <v>0</v>
      </c>
    </row>
    <row r="42" spans="4:5" s="5" customFormat="1" ht="18" customHeight="1">
      <c r="D42" s="5">
        <f ca="1">IF($E42="","",IFERROR(VLOOKUP($E42,validation!$A$2:$B$23,2,FALSE),""))</f>
        <v>0</v>
      </c>
      <c r="E42" s="5">
        <f ca="1">IF($D42="","",IFERROR(INDEX(validation!$A$2:$A$23,MATCH($D42,validation!$B$2:$B$23,0)),""))</f>
        <v>0</v>
      </c>
    </row>
    <row r="43" spans="4:5" s="5" customFormat="1" ht="18" customHeight="1">
      <c r="D43" s="5">
        <f ca="1">IF($E43="","",IFERROR(VLOOKUP($E43,validation!$A$2:$B$23,2,FALSE),""))</f>
        <v>0</v>
      </c>
      <c r="E43" s="5">
        <f ca="1">IF($D43="","",IFERROR(INDEX(validation!$A$2:$A$23,MATCH($D43,validation!$B$2:$B$23,0)),""))</f>
        <v>0</v>
      </c>
    </row>
    <row r="44" spans="4:5" s="5" customFormat="1" ht="18" customHeight="1">
      <c r="D44" s="5">
        <f ca="1">IF($E44="","",IFERROR(VLOOKUP($E44,validation!$A$2:$B$23,2,FALSE),""))</f>
        <v>0</v>
      </c>
      <c r="E44" s="5">
        <f ca="1">IF($D44="","",IFERROR(INDEX(validation!$A$2:$A$23,MATCH($D44,validation!$B$2:$B$23,0)),""))</f>
        <v>0</v>
      </c>
    </row>
    <row r="45" spans="4:5" s="5" customFormat="1" ht="18" customHeight="1">
      <c r="D45" s="5">
        <f ca="1">IF($E45="","",IFERROR(VLOOKUP($E45,validation!$A$2:$B$23,2,FALSE),""))</f>
        <v>0</v>
      </c>
      <c r="E45" s="5">
        <f ca="1">IF($D45="","",IFERROR(INDEX(validation!$A$2:$A$23,MATCH($D45,validation!$B$2:$B$23,0)),""))</f>
        <v>0</v>
      </c>
    </row>
    <row r="46" spans="4:5" s="5" customFormat="1" ht="18" customHeight="1">
      <c r="D46" s="5">
        <f ca="1">IF($E46="","",IFERROR(VLOOKUP($E46,validation!$A$2:$B$23,2,FALSE),""))</f>
        <v>0</v>
      </c>
      <c r="E46" s="5">
        <f ca="1">IF($D46="","",IFERROR(INDEX(validation!$A$2:$A$23,MATCH($D46,validation!$B$2:$B$23,0)),""))</f>
        <v>0</v>
      </c>
    </row>
    <row r="47" spans="4:5" s="5" customFormat="1" ht="18" customHeight="1">
      <c r="D47" s="5">
        <f ca="1">IF($E47="","",IFERROR(VLOOKUP($E47,validation!$A$2:$B$23,2,FALSE),""))</f>
        <v>0</v>
      </c>
      <c r="E47" s="5">
        <f ca="1">IF($D47="","",IFERROR(INDEX(validation!$A$2:$A$23,MATCH($D47,validation!$B$2:$B$23,0)),""))</f>
        <v>0</v>
      </c>
    </row>
    <row r="48" spans="4:5" s="5" customFormat="1" ht="18" customHeight="1">
      <c r="D48" s="5">
        <f ca="1">IF($E48="","",IFERROR(VLOOKUP($E48,validation!$A$2:$B$23,2,FALSE),""))</f>
        <v>0</v>
      </c>
      <c r="E48" s="5">
        <f ca="1">IF($D48="","",IFERROR(INDEX(validation!$A$2:$A$23,MATCH($D48,validation!$B$2:$B$23,0)),""))</f>
        <v>0</v>
      </c>
    </row>
    <row r="49" spans="4:5" s="5" customFormat="1" ht="18" customHeight="1">
      <c r="D49" s="5">
        <f ca="1">IF($E49="","",IFERROR(VLOOKUP($E49,validation!$A$2:$B$23,2,FALSE),""))</f>
        <v>0</v>
      </c>
      <c r="E49" s="5">
        <f ca="1">IF($D49="","",IFERROR(INDEX(validation!$A$2:$A$23,MATCH($D49,validation!$B$2:$B$23,0)),""))</f>
        <v>0</v>
      </c>
    </row>
    <row r="50" spans="4:5" s="5" customFormat="1" ht="18" customHeight="1">
      <c r="D50" s="5">
        <f ca="1">IF($E50="","",IFERROR(VLOOKUP($E50,validation!$A$2:$B$23,2,FALSE),""))</f>
        <v>0</v>
      </c>
      <c r="E50" s="5">
        <f ca="1">IF($D50="","",IFERROR(INDEX(validation!$A$2:$A$23,MATCH($D50,validation!$B$2:$B$23,0)),""))</f>
        <v>0</v>
      </c>
    </row>
    <row r="51" spans="4:5" s="5" customFormat="1" ht="18" customHeight="1">
      <c r="D51" s="5">
        <f ca="1">IF($E51="","",IFERROR(VLOOKUP($E51,validation!$A$2:$B$23,2,FALSE),""))</f>
        <v>0</v>
      </c>
      <c r="E51" s="5">
        <f ca="1">IF($D51="","",IFERROR(INDEX(validation!$A$2:$A$23,MATCH($D51,validation!$B$2:$B$23,0)),""))</f>
        <v>0</v>
      </c>
    </row>
    <row r="52" spans="4:5" s="5" customFormat="1" ht="18" customHeight="1">
      <c r="D52" s="5">
        <f ca="1">IF($E52="","",IFERROR(VLOOKUP($E52,validation!$A$2:$B$23,2,FALSE),""))</f>
        <v>0</v>
      </c>
      <c r="E52" s="5">
        <f ca="1">IF($D52="","",IFERROR(INDEX(validation!$A$2:$A$23,MATCH($D52,validation!$B$2:$B$23,0)),""))</f>
        <v>0</v>
      </c>
    </row>
    <row r="53" spans="4:5" s="5" customFormat="1" ht="18" customHeight="1">
      <c r="D53" s="5">
        <f ca="1">IF($E53="","",IFERROR(VLOOKUP($E53,validation!$A$2:$B$23,2,FALSE),""))</f>
        <v>0</v>
      </c>
      <c r="E53" s="5">
        <f ca="1">IF($D53="","",IFERROR(INDEX(validation!$A$2:$A$23,MATCH($D53,validation!$B$2:$B$23,0)),""))</f>
        <v>0</v>
      </c>
    </row>
    <row r="54" spans="4:5" s="5" customFormat="1" ht="18" customHeight="1">
      <c r="D54" s="5">
        <f ca="1">IF($E54="","",IFERROR(VLOOKUP($E54,validation!$A$2:$B$23,2,FALSE),""))</f>
        <v>0</v>
      </c>
      <c r="E54" s="5">
        <f ca="1">IF($D54="","",IFERROR(INDEX(validation!$A$2:$A$23,MATCH($D54,validation!$B$2:$B$23,0)),""))</f>
        <v>0</v>
      </c>
    </row>
    <row r="55" spans="4:5" s="5" customFormat="1" ht="18" customHeight="1">
      <c r="D55" s="5">
        <f ca="1">IF($E55="","",IFERROR(VLOOKUP($E55,validation!$A$2:$B$23,2,FALSE),""))</f>
        <v>0</v>
      </c>
      <c r="E55" s="5">
        <f ca="1">IF($D55="","",IFERROR(INDEX(validation!$A$2:$A$23,MATCH($D55,validation!$B$2:$B$23,0)),""))</f>
        <v>0</v>
      </c>
    </row>
    <row r="56" spans="4:5" s="5" customFormat="1" ht="18" customHeight="1">
      <c r="D56" s="5">
        <f ca="1">IF($E56="","",IFERROR(VLOOKUP($E56,validation!$A$2:$B$23,2,FALSE),""))</f>
        <v>0</v>
      </c>
      <c r="E56" s="5">
        <f ca="1">IF($D56="","",IFERROR(INDEX(validation!$A$2:$A$23,MATCH($D56,validation!$B$2:$B$23,0)),""))</f>
        <v>0</v>
      </c>
    </row>
    <row r="57" spans="4:5" s="5" customFormat="1" ht="18" customHeight="1">
      <c r="D57" s="5">
        <f ca="1">IF($E57="","",IFERROR(VLOOKUP($E57,validation!$A$2:$B$23,2,FALSE),""))</f>
        <v>0</v>
      </c>
      <c r="E57" s="5">
        <f ca="1">IF($D57="","",IFERROR(INDEX(validation!$A$2:$A$23,MATCH($D57,validation!$B$2:$B$23,0)),""))</f>
        <v>0</v>
      </c>
    </row>
    <row r="58" spans="4:5" s="5" customFormat="1" ht="18" customHeight="1">
      <c r="D58" s="5">
        <f ca="1">IF($E58="","",IFERROR(VLOOKUP($E58,validation!$A$2:$B$23,2,FALSE),""))</f>
        <v>0</v>
      </c>
      <c r="E58" s="5">
        <f ca="1">IF($D58="","",IFERROR(INDEX(validation!$A$2:$A$23,MATCH($D58,validation!$B$2:$B$23,0)),""))</f>
        <v>0</v>
      </c>
    </row>
    <row r="59" spans="4:5" s="5" customFormat="1" ht="18" customHeight="1">
      <c r="D59" s="5">
        <f ca="1">IF($E59="","",IFERROR(VLOOKUP($E59,validation!$A$2:$B$23,2,FALSE),""))</f>
        <v>0</v>
      </c>
      <c r="E59" s="5">
        <f ca="1">IF($D59="","",IFERROR(INDEX(validation!$A$2:$A$23,MATCH($D59,validation!$B$2:$B$23,0)),""))</f>
        <v>0</v>
      </c>
    </row>
    <row r="60" spans="4:5" s="5" customFormat="1" ht="18" customHeight="1">
      <c r="D60" s="5">
        <f ca="1">IF($E60="","",IFERROR(VLOOKUP($E60,validation!$A$2:$B$23,2,FALSE),""))</f>
        <v>0</v>
      </c>
      <c r="E60" s="5">
        <f ca="1">IF($D60="","",IFERROR(INDEX(validation!$A$2:$A$23,MATCH($D60,validation!$B$2:$B$23,0)),""))</f>
        <v>0</v>
      </c>
    </row>
    <row r="61" spans="4:5" s="5" customFormat="1" ht="18" customHeight="1">
      <c r="D61" s="5">
        <f ca="1">IF($E61="","",IFERROR(VLOOKUP($E61,validation!$A$2:$B$23,2,FALSE),""))</f>
        <v>0</v>
      </c>
      <c r="E61" s="5">
        <f ca="1">IF($D61="","",IFERROR(INDEX(validation!$A$2:$A$23,MATCH($D61,validation!$B$2:$B$23,0)),""))</f>
        <v>0</v>
      </c>
    </row>
    <row r="62" spans="4:5" s="5" customFormat="1" ht="18" customHeight="1">
      <c r="D62" s="5">
        <f ca="1">IF($E62="","",IFERROR(VLOOKUP($E62,validation!$A$2:$B$23,2,FALSE),""))</f>
        <v>0</v>
      </c>
      <c r="E62" s="5">
        <f ca="1">IF($D62="","",IFERROR(INDEX(validation!$A$2:$A$23,MATCH($D62,validation!$B$2:$B$23,0)),""))</f>
        <v>0</v>
      </c>
    </row>
    <row r="63" spans="4:5" s="5" customFormat="1" ht="18" customHeight="1">
      <c r="D63" s="5">
        <f ca="1">IF($E63="","",IFERROR(VLOOKUP($E63,validation!$A$2:$B$23,2,FALSE),""))</f>
        <v>0</v>
      </c>
      <c r="E63" s="5">
        <f ca="1">IF($D63="","",IFERROR(INDEX(validation!$A$2:$A$23,MATCH($D63,validation!$B$2:$B$23,0)),""))</f>
        <v>0</v>
      </c>
    </row>
    <row r="64" spans="4:5" s="5" customFormat="1" ht="18" customHeight="1">
      <c r="D64" s="5">
        <f ca="1">IF($E64="","",IFERROR(VLOOKUP($E64,validation!$A$2:$B$23,2,FALSE),""))</f>
        <v>0</v>
      </c>
      <c r="E64" s="5">
        <f ca="1">IF($D64="","",IFERROR(INDEX(validation!$A$2:$A$23,MATCH($D64,validation!$B$2:$B$23,0)),""))</f>
        <v>0</v>
      </c>
    </row>
    <row r="65" spans="4:5" s="5" customFormat="1" ht="18" customHeight="1">
      <c r="D65" s="5">
        <f ca="1">IF($E65="","",IFERROR(VLOOKUP($E65,validation!$A$2:$B$23,2,FALSE),""))</f>
        <v>0</v>
      </c>
      <c r="E65" s="5">
        <f ca="1">IF($D65="","",IFERROR(INDEX(validation!$A$2:$A$23,MATCH($D65,validation!$B$2:$B$23,0)),""))</f>
        <v>0</v>
      </c>
    </row>
    <row r="66" spans="4:5" s="5" customFormat="1" ht="18" customHeight="1">
      <c r="D66" s="5">
        <f ca="1">IF($E66="","",IFERROR(VLOOKUP($E66,validation!$A$2:$B$23,2,FALSE),""))</f>
        <v>0</v>
      </c>
      <c r="E66" s="5">
        <f ca="1">IF($D66="","",IFERROR(INDEX(validation!$A$2:$A$23,MATCH($D66,validation!$B$2:$B$23,0)),""))</f>
        <v>0</v>
      </c>
    </row>
    <row r="67" spans="4:5" s="5" customFormat="1" ht="18" customHeight="1">
      <c r="D67" s="5">
        <f ca="1">IF($E67="","",IFERROR(VLOOKUP($E67,validation!$A$2:$B$23,2,FALSE),""))</f>
        <v>0</v>
      </c>
      <c r="E67" s="5">
        <f ca="1">IF($D67="","",IFERROR(INDEX(validation!$A$2:$A$23,MATCH($D67,validation!$B$2:$B$23,0)),""))</f>
        <v>0</v>
      </c>
    </row>
    <row r="68" spans="4:5" s="5" customFormat="1" ht="18" customHeight="1">
      <c r="D68" s="5">
        <f ca="1">IF($E68="","",IFERROR(VLOOKUP($E68,validation!$A$2:$B$23,2,FALSE),""))</f>
        <v>0</v>
      </c>
      <c r="E68" s="5">
        <f ca="1">IF($D68="","",IFERROR(INDEX(validation!$A$2:$A$23,MATCH($D68,validation!$B$2:$B$23,0)),""))</f>
        <v>0</v>
      </c>
    </row>
    <row r="69" spans="4:5" s="5" customFormat="1" ht="18" customHeight="1">
      <c r="D69" s="5">
        <f ca="1">IF($E69="","",IFERROR(VLOOKUP($E69,validation!$A$2:$B$23,2,FALSE),""))</f>
        <v>0</v>
      </c>
      <c r="E69" s="5">
        <f ca="1">IF($D69="","",IFERROR(INDEX(validation!$A$2:$A$23,MATCH($D69,validation!$B$2:$B$23,0)),""))</f>
        <v>0</v>
      </c>
    </row>
    <row r="70" spans="4:5" s="5" customFormat="1" ht="18" customHeight="1">
      <c r="D70" s="5">
        <f ca="1">IF($E70="","",IFERROR(VLOOKUP($E70,validation!$A$2:$B$23,2,FALSE),""))</f>
        <v>0</v>
      </c>
      <c r="E70" s="5">
        <f ca="1">IF($D70="","",IFERROR(INDEX(validation!$A$2:$A$23,MATCH($D70,validation!$B$2:$B$23,0)),""))</f>
        <v>0</v>
      </c>
    </row>
    <row r="71" spans="4:5" s="5" customFormat="1" ht="18" customHeight="1">
      <c r="D71" s="5">
        <f ca="1">IF($E71="","",IFERROR(VLOOKUP($E71,validation!$A$2:$B$23,2,FALSE),""))</f>
        <v>0</v>
      </c>
      <c r="E71" s="5">
        <f ca="1">IF($D71="","",IFERROR(INDEX(validation!$A$2:$A$23,MATCH($D71,validation!$B$2:$B$23,0)),""))</f>
        <v>0</v>
      </c>
    </row>
    <row r="72" spans="4:5" s="5" customFormat="1" ht="18" customHeight="1">
      <c r="D72" s="5">
        <f ca="1">IF($E72="","",IFERROR(VLOOKUP($E72,validation!$A$2:$B$23,2,FALSE),""))</f>
        <v>0</v>
      </c>
      <c r="E72" s="5">
        <f ca="1">IF($D72="","",IFERROR(INDEX(validation!$A$2:$A$23,MATCH($D72,validation!$B$2:$B$23,0)),""))</f>
        <v>0</v>
      </c>
    </row>
    <row r="73" spans="4:5" s="5" customFormat="1" ht="18" customHeight="1">
      <c r="D73" s="5">
        <f ca="1">IF($E73="","",IFERROR(VLOOKUP($E73,validation!$A$2:$B$23,2,FALSE),""))</f>
        <v>0</v>
      </c>
      <c r="E73" s="5">
        <f ca="1">IF($D73="","",IFERROR(INDEX(validation!$A$2:$A$23,MATCH($D73,validation!$B$2:$B$23,0)),""))</f>
        <v>0</v>
      </c>
    </row>
    <row r="74" spans="4:5" s="5" customFormat="1" ht="18" customHeight="1">
      <c r="D74" s="5">
        <f ca="1">IF($E74="","",IFERROR(VLOOKUP($E74,validation!$A$2:$B$23,2,FALSE),""))</f>
        <v>0</v>
      </c>
      <c r="E74" s="5">
        <f ca="1">IF($D74="","",IFERROR(INDEX(validation!$A$2:$A$23,MATCH($D74,validation!$B$2:$B$23,0)),""))</f>
        <v>0</v>
      </c>
    </row>
    <row r="75" spans="4:5" s="5" customFormat="1" ht="18" customHeight="1">
      <c r="D75" s="5">
        <f ca="1">IF($E75="","",IFERROR(VLOOKUP($E75,validation!$A$2:$B$23,2,FALSE),""))</f>
        <v>0</v>
      </c>
      <c r="E75" s="5">
        <f ca="1">IF($D75="","",IFERROR(INDEX(validation!$A$2:$A$23,MATCH($D75,validation!$B$2:$B$23,0)),""))</f>
        <v>0</v>
      </c>
    </row>
    <row r="76" spans="4:5" s="5" customFormat="1" ht="18" customHeight="1">
      <c r="D76" s="5">
        <f ca="1">IF($E76="","",IFERROR(VLOOKUP($E76,validation!$A$2:$B$23,2,FALSE),""))</f>
        <v>0</v>
      </c>
      <c r="E76" s="5">
        <f ca="1">IF($D76="","",IFERROR(INDEX(validation!$A$2:$A$23,MATCH($D76,validation!$B$2:$B$23,0)),""))</f>
        <v>0</v>
      </c>
    </row>
    <row r="77" spans="4:5" s="5" customFormat="1" ht="18" customHeight="1">
      <c r="D77" s="5">
        <f ca="1">IF($E77="","",IFERROR(VLOOKUP($E77,validation!$A$2:$B$23,2,FALSE),""))</f>
        <v>0</v>
      </c>
      <c r="E77" s="5">
        <f ca="1">IF($D77="","",IFERROR(INDEX(validation!$A$2:$A$23,MATCH($D77,validation!$B$2:$B$23,0)),""))</f>
        <v>0</v>
      </c>
    </row>
    <row r="78" spans="4:5" s="5" customFormat="1" ht="18" customHeight="1">
      <c r="D78" s="5">
        <f ca="1">IF($E78="","",IFERROR(VLOOKUP($E78,validation!$A$2:$B$23,2,FALSE),""))</f>
        <v>0</v>
      </c>
      <c r="E78" s="5">
        <f ca="1">IF($D78="","",IFERROR(INDEX(validation!$A$2:$A$23,MATCH($D78,validation!$B$2:$B$23,0)),""))</f>
        <v>0</v>
      </c>
    </row>
    <row r="79" spans="4:5" s="5" customFormat="1" ht="18" customHeight="1">
      <c r="D79" s="5">
        <f ca="1">IF($E79="","",IFERROR(VLOOKUP($E79,validation!$A$2:$B$23,2,FALSE),""))</f>
        <v>0</v>
      </c>
      <c r="E79" s="5">
        <f ca="1">IF($D79="","",IFERROR(INDEX(validation!$A$2:$A$23,MATCH($D79,validation!$B$2:$B$23,0)),""))</f>
        <v>0</v>
      </c>
    </row>
    <row r="80" spans="4:5" s="5" customFormat="1" ht="18" customHeight="1">
      <c r="D80" s="5">
        <f ca="1">IF($E80="","",IFERROR(VLOOKUP($E80,validation!$A$2:$B$23,2,FALSE),""))</f>
        <v>0</v>
      </c>
      <c r="E80" s="5">
        <f ca="1">IF($D80="","",IFERROR(INDEX(validation!$A$2:$A$23,MATCH($D80,validation!$B$2:$B$23,0)),""))</f>
        <v>0</v>
      </c>
    </row>
    <row r="81" spans="4:5" s="5" customFormat="1" ht="18" customHeight="1">
      <c r="D81" s="5">
        <f ca="1">IF($E81="","",IFERROR(VLOOKUP($E81,validation!$A$2:$B$23,2,FALSE),""))</f>
        <v>0</v>
      </c>
      <c r="E81" s="5">
        <f ca="1">IF($D81="","",IFERROR(INDEX(validation!$A$2:$A$23,MATCH($D81,validation!$B$2:$B$23,0)),""))</f>
        <v>0</v>
      </c>
    </row>
    <row r="82" spans="4:5" s="5" customFormat="1" ht="18" customHeight="1">
      <c r="D82" s="5">
        <f ca="1">IF($E82="","",IFERROR(VLOOKUP($E82,validation!$A$2:$B$23,2,FALSE),""))</f>
        <v>0</v>
      </c>
      <c r="E82" s="5">
        <f ca="1">IF($D82="","",IFERROR(INDEX(validation!$A$2:$A$23,MATCH($D82,validation!$B$2:$B$23,0)),""))</f>
        <v>0</v>
      </c>
    </row>
    <row r="83" spans="4:5" s="5" customFormat="1" ht="18" customHeight="1">
      <c r="D83" s="5">
        <f ca="1">IF($E83="","",IFERROR(VLOOKUP($E83,validation!$A$2:$B$23,2,FALSE),""))</f>
        <v>0</v>
      </c>
      <c r="E83" s="5">
        <f ca="1">IF($D83="","",IFERROR(INDEX(validation!$A$2:$A$23,MATCH($D83,validation!$B$2:$B$23,0)),""))</f>
        <v>0</v>
      </c>
    </row>
    <row r="84" spans="4:5" s="5" customFormat="1" ht="18" customHeight="1">
      <c r="D84" s="5">
        <f ca="1">IF($E84="","",IFERROR(VLOOKUP($E84,validation!$A$2:$B$23,2,FALSE),""))</f>
        <v>0</v>
      </c>
      <c r="E84" s="5">
        <f ca="1">IF($D84="","",IFERROR(INDEX(validation!$A$2:$A$23,MATCH($D84,validation!$B$2:$B$23,0)),""))</f>
        <v>0</v>
      </c>
    </row>
    <row r="85" spans="4:5" s="5" customFormat="1" ht="18" customHeight="1">
      <c r="D85" s="5">
        <f ca="1">IF($E85="","",IFERROR(VLOOKUP($E85,validation!$A$2:$B$23,2,FALSE),""))</f>
        <v>0</v>
      </c>
      <c r="E85" s="5">
        <f ca="1">IF($D85="","",IFERROR(INDEX(validation!$A$2:$A$23,MATCH($D85,validation!$B$2:$B$23,0)),""))</f>
        <v>0</v>
      </c>
    </row>
    <row r="86" spans="4:5" s="5" customFormat="1" ht="18" customHeight="1">
      <c r="D86" s="5">
        <f ca="1">IF($E86="","",IFERROR(VLOOKUP($E86,validation!$A$2:$B$23,2,FALSE),""))</f>
        <v>0</v>
      </c>
      <c r="E86" s="5">
        <f ca="1">IF($D86="","",IFERROR(INDEX(validation!$A$2:$A$23,MATCH($D86,validation!$B$2:$B$23,0)),""))</f>
        <v>0</v>
      </c>
    </row>
    <row r="87" spans="4:5" s="5" customFormat="1" ht="18" customHeight="1">
      <c r="D87" s="5">
        <f ca="1">IF($E87="","",IFERROR(VLOOKUP($E87,validation!$A$2:$B$23,2,FALSE),""))</f>
        <v>0</v>
      </c>
      <c r="E87" s="5">
        <f ca="1">IF($D87="","",IFERROR(INDEX(validation!$A$2:$A$23,MATCH($D87,validation!$B$2:$B$23,0)),""))</f>
        <v>0</v>
      </c>
    </row>
    <row r="88" spans="4:5" s="5" customFormat="1" ht="18" customHeight="1">
      <c r="D88" s="5">
        <f ca="1">IF($E88="","",IFERROR(VLOOKUP($E88,validation!$A$2:$B$23,2,FALSE),""))</f>
        <v>0</v>
      </c>
      <c r="E88" s="5">
        <f ca="1">IF($D88="","",IFERROR(INDEX(validation!$A$2:$A$23,MATCH($D88,validation!$B$2:$B$23,0)),""))</f>
        <v>0</v>
      </c>
    </row>
    <row r="89" spans="4:5" s="5" customFormat="1" ht="18" customHeight="1">
      <c r="D89" s="5">
        <f ca="1">IF($E89="","",IFERROR(VLOOKUP($E89,validation!$A$2:$B$23,2,FALSE),""))</f>
        <v>0</v>
      </c>
      <c r="E89" s="5">
        <f ca="1">IF($D89="","",IFERROR(INDEX(validation!$A$2:$A$23,MATCH($D89,validation!$B$2:$B$23,0)),""))</f>
        <v>0</v>
      </c>
    </row>
    <row r="90" spans="4:5" s="5" customFormat="1" ht="18" customHeight="1">
      <c r="D90" s="5">
        <f ca="1">IF($E90="","",IFERROR(VLOOKUP($E90,validation!$A$2:$B$23,2,FALSE),""))</f>
        <v>0</v>
      </c>
      <c r="E90" s="5">
        <f ca="1">IF($D90="","",IFERROR(INDEX(validation!$A$2:$A$23,MATCH($D90,validation!$B$2:$B$23,0)),""))</f>
        <v>0</v>
      </c>
    </row>
    <row r="91" spans="4:5" s="5" customFormat="1" ht="18" customHeight="1">
      <c r="D91" s="5">
        <f ca="1">IF($E91="","",IFERROR(VLOOKUP($E91,validation!$A$2:$B$23,2,FALSE),""))</f>
        <v>0</v>
      </c>
      <c r="E91" s="5">
        <f ca="1">IF($D91="","",IFERROR(INDEX(validation!$A$2:$A$23,MATCH($D91,validation!$B$2:$B$23,0)),""))</f>
        <v>0</v>
      </c>
    </row>
    <row r="92" spans="4:5" s="5" customFormat="1" ht="18" customHeight="1">
      <c r="D92" s="5">
        <f ca="1">IF($E92="","",IFERROR(VLOOKUP($E92,validation!$A$2:$B$23,2,FALSE),""))</f>
        <v>0</v>
      </c>
      <c r="E92" s="5">
        <f ca="1">IF($D92="","",IFERROR(INDEX(validation!$A$2:$A$23,MATCH($D92,validation!$B$2:$B$23,0)),""))</f>
        <v>0</v>
      </c>
    </row>
    <row r="93" spans="4:5" s="5" customFormat="1" ht="18" customHeight="1">
      <c r="D93" s="5">
        <f ca="1">IF($E93="","",IFERROR(VLOOKUP($E93,validation!$A$2:$B$23,2,FALSE),""))</f>
        <v>0</v>
      </c>
      <c r="E93" s="5">
        <f ca="1">IF($D93="","",IFERROR(INDEX(validation!$A$2:$A$23,MATCH($D93,validation!$B$2:$B$23,0)),""))</f>
        <v>0</v>
      </c>
    </row>
    <row r="94" spans="4:5" s="5" customFormat="1" ht="18" customHeight="1">
      <c r="D94" s="5">
        <f ca="1">IF($E94="","",IFERROR(VLOOKUP($E94,validation!$A$2:$B$23,2,FALSE),""))</f>
        <v>0</v>
      </c>
      <c r="E94" s="5">
        <f ca="1">IF($D94="","",IFERROR(INDEX(validation!$A$2:$A$23,MATCH($D94,validation!$B$2:$B$23,0)),""))</f>
        <v>0</v>
      </c>
    </row>
    <row r="95" spans="4:5" s="5" customFormat="1" ht="18" customHeight="1">
      <c r="D95" s="5">
        <f ca="1">IF($E95="","",IFERROR(VLOOKUP($E95,validation!$A$2:$B$23,2,FALSE),""))</f>
        <v>0</v>
      </c>
      <c r="E95" s="5">
        <f ca="1">IF($D95="","",IFERROR(INDEX(validation!$A$2:$A$23,MATCH($D95,validation!$B$2:$B$23,0)),""))</f>
        <v>0</v>
      </c>
    </row>
    <row r="96" spans="4:5" s="5" customFormat="1" ht="18" customHeight="1">
      <c r="D96" s="5">
        <f ca="1">IF($E96="","",IFERROR(VLOOKUP($E96,validation!$A$2:$B$23,2,FALSE),""))</f>
        <v>0</v>
      </c>
      <c r="E96" s="5">
        <f ca="1">IF($D96="","",IFERROR(INDEX(validation!$A$2:$A$23,MATCH($D96,validation!$B$2:$B$23,0)),""))</f>
        <v>0</v>
      </c>
    </row>
    <row r="97" spans="4:5" s="5" customFormat="1" ht="18" customHeight="1">
      <c r="D97" s="5">
        <f ca="1">IF($E97="","",IFERROR(VLOOKUP($E97,validation!$A$2:$B$23,2,FALSE),""))</f>
        <v>0</v>
      </c>
      <c r="E97" s="5">
        <f ca="1">IF($D97="","",IFERROR(INDEX(validation!$A$2:$A$23,MATCH($D97,validation!$B$2:$B$23,0)),""))</f>
        <v>0</v>
      </c>
    </row>
    <row r="98" spans="4:5" s="5" customFormat="1" ht="18" customHeight="1">
      <c r="D98" s="5">
        <f ca="1">IF($E98="","",IFERROR(VLOOKUP($E98,validation!$A$2:$B$23,2,FALSE),""))</f>
        <v>0</v>
      </c>
      <c r="E98" s="5">
        <f ca="1">IF($D98="","",IFERROR(INDEX(validation!$A$2:$A$23,MATCH($D98,validation!$B$2:$B$23,0)),""))</f>
        <v>0</v>
      </c>
    </row>
    <row r="99" spans="4:5" s="5" customFormat="1" ht="18" customHeight="1">
      <c r="D99" s="5">
        <f ca="1">IF($E99="","",IFERROR(VLOOKUP($E99,validation!$A$2:$B$23,2,FALSE),""))</f>
        <v>0</v>
      </c>
      <c r="E99" s="5">
        <f ca="1">IF($D99="","",IFERROR(INDEX(validation!$A$2:$A$23,MATCH($D99,validation!$B$2:$B$23,0)),""))</f>
        <v>0</v>
      </c>
    </row>
    <row r="100" spans="4:5" s="5" customFormat="1" ht="18" customHeight="1">
      <c r="D100" s="5">
        <f ca="1">IF($E100="","",IFERROR(VLOOKUP($E100,validation!$A$2:$B$23,2,FALSE),""))</f>
        <v>0</v>
      </c>
      <c r="E100" s="5">
        <f ca="1">IF($D100="","",IFERROR(INDEX(validation!$A$2:$A$23,MATCH($D100,validation!$B$2:$B$23,0)),""))</f>
        <v>0</v>
      </c>
    </row>
    <row r="101" spans="4:5" s="5" customFormat="1" ht="18" customHeight="1">
      <c r="D101" s="5">
        <f ca="1">IF($E101="","",IFERROR(VLOOKUP($E101,validation!$A$2:$B$23,2,FALSE),""))</f>
        <v>0</v>
      </c>
      <c r="E101" s="5">
        <f ca="1">IF($D101="","",IFERROR(INDEX(validation!$A$2:$A$23,MATCH($D101,validation!$B$2:$B$23,0)),""))</f>
        <v>0</v>
      </c>
    </row>
    <row r="102" spans="4:5" s="5" customFormat="1" ht="18" customHeight="1">
      <c r="D102" s="5">
        <f ca="1">IF($E102="","",IFERROR(VLOOKUP($E102,validation!$A$2:$B$23,2,FALSE),""))</f>
        <v>0</v>
      </c>
      <c r="E102" s="5">
        <f ca="1">IF($D102="","",IFERROR(INDEX(validation!$A$2:$A$23,MATCH($D102,validation!$B$2:$B$23,0)),""))</f>
        <v>0</v>
      </c>
    </row>
    <row r="103" spans="4:5" s="5" customFormat="1" ht="18" customHeight="1">
      <c r="D103" s="5">
        <f ca="1">IF($E103="","",IFERROR(VLOOKUP($E103,validation!$A$2:$B$23,2,FALSE),""))</f>
        <v>0</v>
      </c>
      <c r="E103" s="5">
        <f ca="1">IF($D103="","",IFERROR(INDEX(validation!$A$2:$A$23,MATCH($D103,validation!$B$2:$B$23,0)),""))</f>
        <v>0</v>
      </c>
    </row>
    <row r="104" spans="4:5" s="5" customFormat="1" ht="18" customHeight="1">
      <c r="D104" s="5">
        <f ca="1">IF($E104="","",IFERROR(VLOOKUP($E104,validation!$A$2:$B$23,2,FALSE),""))</f>
        <v>0</v>
      </c>
      <c r="E104" s="5">
        <f ca="1">IF($D104="","",IFERROR(INDEX(validation!$A$2:$A$23,MATCH($D104,validation!$B$2:$B$23,0)),""))</f>
        <v>0</v>
      </c>
    </row>
    <row r="105" spans="4:5" s="5" customFormat="1" ht="18" customHeight="1">
      <c r="D105" s="5">
        <f ca="1">IF($E105="","",IFERROR(VLOOKUP($E105,validation!$A$2:$B$23,2,FALSE),""))</f>
        <v>0</v>
      </c>
      <c r="E105" s="5">
        <f ca="1">IF($D105="","",IFERROR(INDEX(validation!$A$2:$A$23,MATCH($D105,validation!$B$2:$B$23,0)),""))</f>
        <v>0</v>
      </c>
    </row>
    <row r="106" spans="4:5" s="5" customFormat="1" ht="18" customHeight="1">
      <c r="D106" s="5">
        <f ca="1">IF($E106="","",IFERROR(VLOOKUP($E106,validation!$A$2:$B$23,2,FALSE),""))</f>
        <v>0</v>
      </c>
      <c r="E106" s="5">
        <f ca="1">IF($D106="","",IFERROR(INDEX(validation!$A$2:$A$23,MATCH($D106,validation!$B$2:$B$23,0)),""))</f>
        <v>0</v>
      </c>
    </row>
    <row r="107" spans="4:5" s="5" customFormat="1" ht="18" customHeight="1">
      <c r="D107" s="5">
        <f ca="1">IF($E107="","",IFERROR(VLOOKUP($E107,validation!$A$2:$B$23,2,FALSE),""))</f>
        <v>0</v>
      </c>
      <c r="E107" s="5">
        <f ca="1">IF($D107="","",IFERROR(INDEX(validation!$A$2:$A$23,MATCH($D107,validation!$B$2:$B$23,0)),""))</f>
        <v>0</v>
      </c>
    </row>
    <row r="108" spans="4:5" s="5" customFormat="1" ht="18" customHeight="1">
      <c r="D108" s="5">
        <f ca="1">IF($E108="","",IFERROR(VLOOKUP($E108,validation!$A$2:$B$23,2,FALSE),""))</f>
        <v>0</v>
      </c>
      <c r="E108" s="5">
        <f ca="1">IF($D108="","",IFERROR(INDEX(validation!$A$2:$A$23,MATCH($D108,validation!$B$2:$B$23,0)),""))</f>
        <v>0</v>
      </c>
    </row>
    <row r="109" spans="4:5" s="5" customFormat="1" ht="18" customHeight="1">
      <c r="D109" s="5">
        <f ca="1">IF($E109="","",IFERROR(VLOOKUP($E109,validation!$A$2:$B$23,2,FALSE),""))</f>
        <v>0</v>
      </c>
      <c r="E109" s="5">
        <f ca="1">IF($D109="","",IFERROR(INDEX(validation!$A$2:$A$23,MATCH($D109,validation!$B$2:$B$23,0)),""))</f>
        <v>0</v>
      </c>
    </row>
    <row r="110" spans="4:5" s="5" customFormat="1" ht="18" customHeight="1">
      <c r="D110" s="5">
        <f ca="1">IF($E110="","",IFERROR(VLOOKUP($E110,validation!$A$2:$B$23,2,FALSE),""))</f>
        <v>0</v>
      </c>
      <c r="E110" s="5">
        <f ca="1">IF($D110="","",IFERROR(INDEX(validation!$A$2:$A$23,MATCH($D110,validation!$B$2:$B$23,0)),""))</f>
        <v>0</v>
      </c>
    </row>
    <row r="111" spans="4:5" s="5" customFormat="1" ht="18" customHeight="1">
      <c r="D111" s="5">
        <f ca="1">IF($E111="","",IFERROR(VLOOKUP($E111,validation!$A$2:$B$23,2,FALSE),""))</f>
        <v>0</v>
      </c>
      <c r="E111" s="5">
        <f ca="1">IF($D111="","",IFERROR(INDEX(validation!$A$2:$A$23,MATCH($D111,validation!$B$2:$B$23,0)),""))</f>
        <v>0</v>
      </c>
    </row>
    <row r="112" spans="4:5" s="5" customFormat="1" ht="18" customHeight="1">
      <c r="D112" s="5">
        <f ca="1">IF($E112="","",IFERROR(VLOOKUP($E112,validation!$A$2:$B$23,2,FALSE),""))</f>
        <v>0</v>
      </c>
      <c r="E112" s="5">
        <f ca="1">IF($D112="","",IFERROR(INDEX(validation!$A$2:$A$23,MATCH($D112,validation!$B$2:$B$23,0)),""))</f>
        <v>0</v>
      </c>
    </row>
    <row r="113" spans="4:5" s="5" customFormat="1" ht="18" customHeight="1">
      <c r="D113" s="5">
        <f ca="1">IF($E113="","",IFERROR(VLOOKUP($E113,validation!$A$2:$B$23,2,FALSE),""))</f>
        <v>0</v>
      </c>
      <c r="E113" s="5">
        <f ca="1">IF($D113="","",IFERROR(INDEX(validation!$A$2:$A$23,MATCH($D113,validation!$B$2:$B$23,0)),""))</f>
        <v>0</v>
      </c>
    </row>
    <row r="114" spans="4:5" s="5" customFormat="1" ht="18" customHeight="1">
      <c r="D114" s="5">
        <f ca="1">IF($E114="","",IFERROR(VLOOKUP($E114,validation!$A$2:$B$23,2,FALSE),""))</f>
        <v>0</v>
      </c>
      <c r="E114" s="5">
        <f ca="1">IF($D114="","",IFERROR(INDEX(validation!$A$2:$A$23,MATCH($D114,validation!$B$2:$B$23,0)),""))</f>
        <v>0</v>
      </c>
    </row>
    <row r="115" spans="4:5" s="5" customFormat="1" ht="18" customHeight="1">
      <c r="D115" s="5">
        <f ca="1">IF($E115="","",IFERROR(VLOOKUP($E115,validation!$A$2:$B$23,2,FALSE),""))</f>
        <v>0</v>
      </c>
      <c r="E115" s="5">
        <f ca="1">IF($D115="","",IFERROR(INDEX(validation!$A$2:$A$23,MATCH($D115,validation!$B$2:$B$23,0)),""))</f>
        <v>0</v>
      </c>
    </row>
    <row r="116" spans="4:5" s="5" customFormat="1" ht="18" customHeight="1">
      <c r="D116" s="5">
        <f ca="1">IF($E116="","",IFERROR(VLOOKUP($E116,validation!$A$2:$B$23,2,FALSE),""))</f>
        <v>0</v>
      </c>
      <c r="E116" s="5">
        <f ca="1">IF($D116="","",IFERROR(INDEX(validation!$A$2:$A$23,MATCH($D116,validation!$B$2:$B$23,0)),""))</f>
        <v>0</v>
      </c>
    </row>
    <row r="117" spans="4:5" s="5" customFormat="1" ht="18" customHeight="1">
      <c r="D117" s="5">
        <f ca="1">IF($E117="","",IFERROR(VLOOKUP($E117,validation!$A$2:$B$23,2,FALSE),""))</f>
        <v>0</v>
      </c>
      <c r="E117" s="5">
        <f ca="1">IF($D117="","",IFERROR(INDEX(validation!$A$2:$A$23,MATCH($D117,validation!$B$2:$B$23,0)),""))</f>
        <v>0</v>
      </c>
    </row>
    <row r="118" spans="4:5" s="5" customFormat="1" ht="18" customHeight="1">
      <c r="D118" s="5">
        <f ca="1">IF($E118="","",IFERROR(VLOOKUP($E118,validation!$A$2:$B$23,2,FALSE),""))</f>
        <v>0</v>
      </c>
      <c r="E118" s="5">
        <f ca="1">IF($D118="","",IFERROR(INDEX(validation!$A$2:$A$23,MATCH($D118,validation!$B$2:$B$23,0)),""))</f>
        <v>0</v>
      </c>
    </row>
    <row r="119" spans="4:5" s="5" customFormat="1" ht="18" customHeight="1">
      <c r="D119" s="5">
        <f ca="1">IF($E119="","",IFERROR(VLOOKUP($E119,validation!$A$2:$B$23,2,FALSE),""))</f>
        <v>0</v>
      </c>
      <c r="E119" s="5">
        <f ca="1">IF($D119="","",IFERROR(INDEX(validation!$A$2:$A$23,MATCH($D119,validation!$B$2:$B$23,0)),""))</f>
        <v>0</v>
      </c>
    </row>
    <row r="120" spans="4:5" s="5" customFormat="1" ht="18" customHeight="1">
      <c r="D120" s="5">
        <f ca="1">IF($E120="","",IFERROR(VLOOKUP($E120,validation!$A$2:$B$23,2,FALSE),""))</f>
        <v>0</v>
      </c>
      <c r="E120" s="5">
        <f ca="1">IF($D120="","",IFERROR(INDEX(validation!$A$2:$A$23,MATCH($D120,validation!$B$2:$B$23,0)),""))</f>
        <v>0</v>
      </c>
    </row>
    <row r="121" spans="4:5" s="5" customFormat="1" ht="18" customHeight="1">
      <c r="D121" s="5">
        <f ca="1">IF($E121="","",IFERROR(VLOOKUP($E121,validation!$A$2:$B$23,2,FALSE),""))</f>
        <v>0</v>
      </c>
      <c r="E121" s="5">
        <f ca="1">IF($D121="","",IFERROR(INDEX(validation!$A$2:$A$23,MATCH($D121,validation!$B$2:$B$23,0)),""))</f>
        <v>0</v>
      </c>
    </row>
    <row r="122" spans="4:5" s="5" customFormat="1" ht="18" customHeight="1">
      <c r="D122" s="5">
        <f ca="1">IF($E122="","",IFERROR(VLOOKUP($E122,validation!$A$2:$B$23,2,FALSE),""))</f>
        <v>0</v>
      </c>
      <c r="E122" s="5">
        <f ca="1">IF($D122="","",IFERROR(INDEX(validation!$A$2:$A$23,MATCH($D122,validation!$B$2:$B$23,0)),""))</f>
        <v>0</v>
      </c>
    </row>
    <row r="123" spans="4:5" s="5" customFormat="1" ht="18" customHeight="1">
      <c r="D123" s="5">
        <f ca="1">IF($E123="","",IFERROR(VLOOKUP($E123,validation!$A$2:$B$23,2,FALSE),""))</f>
        <v>0</v>
      </c>
      <c r="E123" s="5">
        <f ca="1">IF($D123="","",IFERROR(INDEX(validation!$A$2:$A$23,MATCH($D123,validation!$B$2:$B$23,0)),""))</f>
        <v>0</v>
      </c>
    </row>
    <row r="124" spans="4:5" s="5" customFormat="1" ht="18" customHeight="1">
      <c r="D124" s="5">
        <f ca="1">IF($E124="","",IFERROR(VLOOKUP($E124,validation!$A$2:$B$23,2,FALSE),""))</f>
        <v>0</v>
      </c>
      <c r="E124" s="5">
        <f ca="1">IF($D124="","",IFERROR(INDEX(validation!$A$2:$A$23,MATCH($D124,validation!$B$2:$B$23,0)),""))</f>
        <v>0</v>
      </c>
    </row>
    <row r="125" spans="4:5" s="5" customFormat="1" ht="18" customHeight="1">
      <c r="D125" s="5">
        <f ca="1">IF($E125="","",IFERROR(VLOOKUP($E125,validation!$A$2:$B$23,2,FALSE),""))</f>
        <v>0</v>
      </c>
      <c r="E125" s="5">
        <f ca="1">IF($D125="","",IFERROR(INDEX(validation!$A$2:$A$23,MATCH($D125,validation!$B$2:$B$23,0)),""))</f>
        <v>0</v>
      </c>
    </row>
    <row r="126" spans="4:5" s="5" customFormat="1" ht="18" customHeight="1">
      <c r="D126" s="5">
        <f ca="1">IF($E126="","",IFERROR(VLOOKUP($E126,validation!$A$2:$B$23,2,FALSE),""))</f>
        <v>0</v>
      </c>
      <c r="E126" s="5">
        <f ca="1">IF($D126="","",IFERROR(INDEX(validation!$A$2:$A$23,MATCH($D126,validation!$B$2:$B$23,0)),""))</f>
        <v>0</v>
      </c>
    </row>
    <row r="127" spans="4:5" s="5" customFormat="1" ht="18" customHeight="1">
      <c r="D127" s="5">
        <f ca="1">IF($E127="","",IFERROR(VLOOKUP($E127,validation!$A$2:$B$23,2,FALSE),""))</f>
        <v>0</v>
      </c>
      <c r="E127" s="5">
        <f ca="1">IF($D127="","",IFERROR(INDEX(validation!$A$2:$A$23,MATCH($D127,validation!$B$2:$B$23,0)),""))</f>
        <v>0</v>
      </c>
    </row>
    <row r="128" spans="4:5" s="5" customFormat="1" ht="18" customHeight="1">
      <c r="D128" s="5">
        <f ca="1">IF($E128="","",IFERROR(VLOOKUP($E128,validation!$A$2:$B$23,2,FALSE),""))</f>
        <v>0</v>
      </c>
      <c r="E128" s="5">
        <f ca="1">IF($D128="","",IFERROR(INDEX(validation!$A$2:$A$23,MATCH($D128,validation!$B$2:$B$23,0)),""))</f>
        <v>0</v>
      </c>
    </row>
    <row r="129" spans="4:5" s="5" customFormat="1" ht="18" customHeight="1">
      <c r="D129" s="5">
        <f ca="1">IF($E129="","",IFERROR(VLOOKUP($E129,validation!$A$2:$B$23,2,FALSE),""))</f>
        <v>0</v>
      </c>
      <c r="E129" s="5">
        <f ca="1">IF($D129="","",IFERROR(INDEX(validation!$A$2:$A$23,MATCH($D129,validation!$B$2:$B$23,0)),""))</f>
        <v>0</v>
      </c>
    </row>
    <row r="130" spans="4:5" s="5" customFormat="1" ht="18" customHeight="1">
      <c r="D130" s="5">
        <f ca="1">IF($E130="","",IFERROR(VLOOKUP($E130,validation!$A$2:$B$23,2,FALSE),""))</f>
        <v>0</v>
      </c>
      <c r="E130" s="5">
        <f ca="1">IF($D130="","",IFERROR(INDEX(validation!$A$2:$A$23,MATCH($D130,validation!$B$2:$B$23,0)),""))</f>
        <v>0</v>
      </c>
    </row>
    <row r="131" spans="4:5" s="5" customFormat="1" ht="18" customHeight="1">
      <c r="D131" s="5">
        <f ca="1">IF($E131="","",IFERROR(VLOOKUP($E131,validation!$A$2:$B$23,2,FALSE),""))</f>
        <v>0</v>
      </c>
      <c r="E131" s="5">
        <f ca="1">IF($D131="","",IFERROR(INDEX(validation!$A$2:$A$23,MATCH($D131,validation!$B$2:$B$23,0)),""))</f>
        <v>0</v>
      </c>
    </row>
    <row r="132" spans="4:5" s="5" customFormat="1" ht="18" customHeight="1">
      <c r="D132" s="5">
        <f ca="1">IF($E132="","",IFERROR(VLOOKUP($E132,validation!$A$2:$B$23,2,FALSE),""))</f>
        <v>0</v>
      </c>
      <c r="E132" s="5">
        <f ca="1">IF($D132="","",IFERROR(INDEX(validation!$A$2:$A$23,MATCH($D132,validation!$B$2:$B$23,0)),""))</f>
        <v>0</v>
      </c>
    </row>
    <row r="133" spans="4:5" s="5" customFormat="1" ht="18" customHeight="1">
      <c r="D133" s="5">
        <f ca="1">IF($E133="","",IFERROR(VLOOKUP($E133,validation!$A$2:$B$23,2,FALSE),""))</f>
        <v>0</v>
      </c>
      <c r="E133" s="5">
        <f ca="1">IF($D133="","",IFERROR(INDEX(validation!$A$2:$A$23,MATCH($D133,validation!$B$2:$B$23,0)),""))</f>
        <v>0</v>
      </c>
    </row>
    <row r="134" spans="4:5" s="5" customFormat="1" ht="18" customHeight="1">
      <c r="D134" s="5">
        <f ca="1">IF($E134="","",IFERROR(VLOOKUP($E134,validation!$A$2:$B$23,2,FALSE),""))</f>
        <v>0</v>
      </c>
      <c r="E134" s="5">
        <f ca="1">IF($D134="","",IFERROR(INDEX(validation!$A$2:$A$23,MATCH($D134,validation!$B$2:$B$23,0)),""))</f>
        <v>0</v>
      </c>
    </row>
    <row r="135" spans="4:5" s="5" customFormat="1" ht="18" customHeight="1">
      <c r="D135" s="5">
        <f ca="1">IF($E135="","",IFERROR(VLOOKUP($E135,validation!$A$2:$B$23,2,FALSE),""))</f>
        <v>0</v>
      </c>
      <c r="E135" s="5">
        <f ca="1">IF($D135="","",IFERROR(INDEX(validation!$A$2:$A$23,MATCH($D135,validation!$B$2:$B$23,0)),""))</f>
        <v>0</v>
      </c>
    </row>
    <row r="136" spans="4:5" s="5" customFormat="1" ht="18" customHeight="1">
      <c r="D136" s="5">
        <f ca="1">IF($E136="","",IFERROR(VLOOKUP($E136,validation!$A$2:$B$23,2,FALSE),""))</f>
        <v>0</v>
      </c>
      <c r="E136" s="5">
        <f ca="1">IF($D136="","",IFERROR(INDEX(validation!$A$2:$A$23,MATCH($D136,validation!$B$2:$B$23,0)),""))</f>
        <v>0</v>
      </c>
    </row>
    <row r="137" spans="4:5" s="5" customFormat="1" ht="18" customHeight="1">
      <c r="D137" s="5">
        <f ca="1">IF($E137="","",IFERROR(VLOOKUP($E137,validation!$A$2:$B$23,2,FALSE),""))</f>
        <v>0</v>
      </c>
      <c r="E137" s="5">
        <f ca="1">IF($D137="","",IFERROR(INDEX(validation!$A$2:$A$23,MATCH($D137,validation!$B$2:$B$23,0)),""))</f>
        <v>0</v>
      </c>
    </row>
    <row r="138" spans="4:5" s="5" customFormat="1" ht="18" customHeight="1">
      <c r="D138" s="5">
        <f ca="1">IF($E138="","",IFERROR(VLOOKUP($E138,validation!$A$2:$B$23,2,FALSE),""))</f>
        <v>0</v>
      </c>
      <c r="E138" s="5">
        <f ca="1">IF($D138="","",IFERROR(INDEX(validation!$A$2:$A$23,MATCH($D138,validation!$B$2:$B$23,0)),""))</f>
        <v>0</v>
      </c>
    </row>
    <row r="139" spans="4:5" s="5" customFormat="1" ht="18" customHeight="1">
      <c r="D139" s="5">
        <f ca="1">IF($E139="","",IFERROR(VLOOKUP($E139,validation!$A$2:$B$23,2,FALSE),""))</f>
        <v>0</v>
      </c>
      <c r="E139" s="5">
        <f ca="1">IF($D139="","",IFERROR(INDEX(validation!$A$2:$A$23,MATCH($D139,validation!$B$2:$B$23,0)),""))</f>
        <v>0</v>
      </c>
    </row>
    <row r="140" spans="4:5" s="5" customFormat="1" ht="18" customHeight="1">
      <c r="D140" s="5">
        <f ca="1">IF($E140="","",IFERROR(VLOOKUP($E140,validation!$A$2:$B$23,2,FALSE),""))</f>
        <v>0</v>
      </c>
      <c r="E140" s="5">
        <f ca="1">IF($D140="","",IFERROR(INDEX(validation!$A$2:$A$23,MATCH($D140,validation!$B$2:$B$23,0)),""))</f>
        <v>0</v>
      </c>
    </row>
    <row r="141" spans="4:5" s="5" customFormat="1" ht="18" customHeight="1">
      <c r="D141" s="5">
        <f ca="1">IF($E141="","",IFERROR(VLOOKUP($E141,validation!$A$2:$B$23,2,FALSE),""))</f>
        <v>0</v>
      </c>
      <c r="E141" s="5">
        <f ca="1">IF($D141="","",IFERROR(INDEX(validation!$A$2:$A$23,MATCH($D141,validation!$B$2:$B$23,0)),""))</f>
        <v>0</v>
      </c>
    </row>
    <row r="142" spans="4:5" s="5" customFormat="1" ht="18" customHeight="1">
      <c r="D142" s="5">
        <f ca="1">IF($E142="","",IFERROR(VLOOKUP($E142,validation!$A$2:$B$23,2,FALSE),""))</f>
        <v>0</v>
      </c>
      <c r="E142" s="5">
        <f ca="1">IF($D142="","",IFERROR(INDEX(validation!$A$2:$A$23,MATCH($D142,validation!$B$2:$B$23,0)),""))</f>
        <v>0</v>
      </c>
    </row>
    <row r="143" spans="4:5" s="5" customFormat="1" ht="18" customHeight="1">
      <c r="D143" s="5">
        <f ca="1">IF($E143="","",IFERROR(VLOOKUP($E143,validation!$A$2:$B$23,2,FALSE),""))</f>
        <v>0</v>
      </c>
      <c r="E143" s="5">
        <f ca="1">IF($D143="","",IFERROR(INDEX(validation!$A$2:$A$23,MATCH($D143,validation!$B$2:$B$23,0)),""))</f>
        <v>0</v>
      </c>
    </row>
    <row r="144" spans="4:5" s="5" customFormat="1" ht="18" customHeight="1">
      <c r="D144" s="5">
        <f ca="1">IF($E144="","",IFERROR(VLOOKUP($E144,validation!$A$2:$B$23,2,FALSE),""))</f>
        <v>0</v>
      </c>
      <c r="E144" s="5">
        <f ca="1">IF($D144="","",IFERROR(INDEX(validation!$A$2:$A$23,MATCH($D144,validation!$B$2:$B$23,0)),""))</f>
        <v>0</v>
      </c>
    </row>
    <row r="145" spans="4:5" s="5" customFormat="1" ht="18" customHeight="1">
      <c r="D145" s="5">
        <f ca="1">IF($E145="","",IFERROR(VLOOKUP($E145,validation!$A$2:$B$23,2,FALSE),""))</f>
        <v>0</v>
      </c>
      <c r="E145" s="5">
        <f ca="1">IF($D145="","",IFERROR(INDEX(validation!$A$2:$A$23,MATCH($D145,validation!$B$2:$B$23,0)),""))</f>
        <v>0</v>
      </c>
    </row>
    <row r="146" spans="4:5" s="5" customFormat="1" ht="18" customHeight="1">
      <c r="D146" s="5">
        <f ca="1">IF($E146="","",IFERROR(VLOOKUP($E146,validation!$A$2:$B$23,2,FALSE),""))</f>
        <v>0</v>
      </c>
      <c r="E146" s="5">
        <f ca="1">IF($D146="","",IFERROR(INDEX(validation!$A$2:$A$23,MATCH($D146,validation!$B$2:$B$23,0)),""))</f>
        <v>0</v>
      </c>
    </row>
    <row r="147" spans="4:5" s="5" customFormat="1" ht="18" customHeight="1">
      <c r="D147" s="5">
        <f ca="1">IF($E147="","",IFERROR(VLOOKUP($E147,validation!$A$2:$B$23,2,FALSE),""))</f>
        <v>0</v>
      </c>
      <c r="E147" s="5">
        <f ca="1">IF($D147="","",IFERROR(INDEX(validation!$A$2:$A$23,MATCH($D147,validation!$B$2:$B$23,0)),""))</f>
        <v>0</v>
      </c>
    </row>
    <row r="148" spans="4:5" s="5" customFormat="1" ht="18" customHeight="1">
      <c r="D148" s="5">
        <f ca="1">IF($E148="","",IFERROR(VLOOKUP($E148,validation!$A$2:$B$23,2,FALSE),""))</f>
        <v>0</v>
      </c>
      <c r="E148" s="5">
        <f ca="1">IF($D148="","",IFERROR(INDEX(validation!$A$2:$A$23,MATCH($D148,validation!$B$2:$B$23,0)),""))</f>
        <v>0</v>
      </c>
    </row>
    <row r="149" spans="4:5" s="5" customFormat="1" ht="18" customHeight="1">
      <c r="D149" s="5">
        <f ca="1">IF($E149="","",IFERROR(VLOOKUP($E149,validation!$A$2:$B$23,2,FALSE),""))</f>
        <v>0</v>
      </c>
      <c r="E149" s="5">
        <f ca="1">IF($D149="","",IFERROR(INDEX(validation!$A$2:$A$23,MATCH($D149,validation!$B$2:$B$23,0)),""))</f>
        <v>0</v>
      </c>
    </row>
    <row r="150" spans="4:5" s="5" customFormat="1" ht="18" customHeight="1">
      <c r="D150" s="5">
        <f ca="1">IF($E150="","",IFERROR(VLOOKUP($E150,validation!$A$2:$B$23,2,FALSE),""))</f>
        <v>0</v>
      </c>
      <c r="E150" s="5">
        <f ca="1">IF($D150="","",IFERROR(INDEX(validation!$A$2:$A$23,MATCH($D150,validation!$B$2:$B$23,0)),""))</f>
        <v>0</v>
      </c>
    </row>
    <row r="151" spans="4:5" s="5" customFormat="1" ht="18" customHeight="1">
      <c r="D151" s="5">
        <f ca="1">IF($E151="","",IFERROR(VLOOKUP($E151,validation!$A$2:$B$23,2,FALSE),""))</f>
        <v>0</v>
      </c>
      <c r="E151" s="5">
        <f ca="1">IF($D151="","",IFERROR(INDEX(validation!$A$2:$A$23,MATCH($D151,validation!$B$2:$B$23,0)),""))</f>
        <v>0</v>
      </c>
    </row>
    <row r="152" spans="4:5" s="5" customFormat="1" ht="18" customHeight="1">
      <c r="D152" s="5">
        <f ca="1">IF($E152="","",IFERROR(VLOOKUP($E152,validation!$A$2:$B$23,2,FALSE),""))</f>
        <v>0</v>
      </c>
      <c r="E152" s="5">
        <f ca="1">IF($D152="","",IFERROR(INDEX(validation!$A$2:$A$23,MATCH($D152,validation!$B$2:$B$23,0)),""))</f>
        <v>0</v>
      </c>
    </row>
    <row r="153" spans="4:5" s="5" customFormat="1" ht="18" customHeight="1">
      <c r="D153" s="5">
        <f ca="1">IF($E153="","",IFERROR(VLOOKUP($E153,validation!$A$2:$B$23,2,FALSE),""))</f>
        <v>0</v>
      </c>
      <c r="E153" s="5">
        <f ca="1">IF($D153="","",IFERROR(INDEX(validation!$A$2:$A$23,MATCH($D153,validation!$B$2:$B$23,0)),""))</f>
        <v>0</v>
      </c>
    </row>
    <row r="154" spans="4:5" s="5" customFormat="1" ht="18" customHeight="1">
      <c r="D154" s="5">
        <f ca="1">IF($E154="","",IFERROR(VLOOKUP($E154,validation!$A$2:$B$23,2,FALSE),""))</f>
        <v>0</v>
      </c>
      <c r="E154" s="5">
        <f ca="1">IF($D154="","",IFERROR(INDEX(validation!$A$2:$A$23,MATCH($D154,validation!$B$2:$B$23,0)),""))</f>
        <v>0</v>
      </c>
    </row>
    <row r="155" spans="4:5" s="5" customFormat="1" ht="18" customHeight="1">
      <c r="D155" s="5">
        <f ca="1">IF($E155="","",IFERROR(VLOOKUP($E155,validation!$A$2:$B$23,2,FALSE),""))</f>
        <v>0</v>
      </c>
      <c r="E155" s="5">
        <f ca="1">IF($D155="","",IFERROR(INDEX(validation!$A$2:$A$23,MATCH($D155,validation!$B$2:$B$23,0)),""))</f>
        <v>0</v>
      </c>
    </row>
    <row r="156" spans="4:5" s="5" customFormat="1" ht="18" customHeight="1">
      <c r="D156" s="5">
        <f ca="1">IF($E156="","",IFERROR(VLOOKUP($E156,validation!$A$2:$B$23,2,FALSE),""))</f>
        <v>0</v>
      </c>
      <c r="E156" s="5">
        <f ca="1">IF($D156="","",IFERROR(INDEX(validation!$A$2:$A$23,MATCH($D156,validation!$B$2:$B$23,0)),""))</f>
        <v>0</v>
      </c>
    </row>
    <row r="157" spans="4:5" s="5" customFormat="1" ht="18" customHeight="1">
      <c r="D157" s="5">
        <f ca="1">IF($E157="","",IFERROR(VLOOKUP($E157,validation!$A$2:$B$23,2,FALSE),""))</f>
        <v>0</v>
      </c>
      <c r="E157" s="5">
        <f ca="1">IF($D157="","",IFERROR(INDEX(validation!$A$2:$A$23,MATCH($D157,validation!$B$2:$B$23,0)),""))</f>
        <v>0</v>
      </c>
    </row>
    <row r="158" spans="4:5" s="5" customFormat="1" ht="18" customHeight="1">
      <c r="D158" s="5">
        <f ca="1">IF($E158="","",IFERROR(VLOOKUP($E158,validation!$A$2:$B$23,2,FALSE),""))</f>
        <v>0</v>
      </c>
      <c r="E158" s="5">
        <f ca="1">IF($D158="","",IFERROR(INDEX(validation!$A$2:$A$23,MATCH($D158,validation!$B$2:$B$23,0)),""))</f>
        <v>0</v>
      </c>
    </row>
    <row r="159" spans="4:5" s="5" customFormat="1" ht="18" customHeight="1">
      <c r="D159" s="5">
        <f ca="1">IF($E159="","",IFERROR(VLOOKUP($E159,validation!$A$2:$B$23,2,FALSE),""))</f>
        <v>0</v>
      </c>
      <c r="E159" s="5">
        <f ca="1">IF($D159="","",IFERROR(INDEX(validation!$A$2:$A$23,MATCH($D159,validation!$B$2:$B$23,0)),""))</f>
        <v>0</v>
      </c>
    </row>
    <row r="160" spans="4:5" s="5" customFormat="1" ht="18" customHeight="1">
      <c r="D160" s="5">
        <f ca="1">IF($E160="","",IFERROR(VLOOKUP($E160,validation!$A$2:$B$23,2,FALSE),""))</f>
        <v>0</v>
      </c>
      <c r="E160" s="5">
        <f ca="1">IF($D160="","",IFERROR(INDEX(validation!$A$2:$A$23,MATCH($D160,validation!$B$2:$B$23,0)),""))</f>
        <v>0</v>
      </c>
    </row>
    <row r="161" spans="4:5" s="5" customFormat="1" ht="18" customHeight="1">
      <c r="D161" s="5">
        <f ca="1">IF($E161="","",IFERROR(VLOOKUP($E161,validation!$A$2:$B$23,2,FALSE),""))</f>
        <v>0</v>
      </c>
      <c r="E161" s="5">
        <f ca="1">IF($D161="","",IFERROR(INDEX(validation!$A$2:$A$23,MATCH($D161,validation!$B$2:$B$23,0)),""))</f>
        <v>0</v>
      </c>
    </row>
    <row r="162" spans="4:5" s="5" customFormat="1" ht="18" customHeight="1">
      <c r="D162" s="5">
        <f ca="1">IF($E162="","",IFERROR(VLOOKUP($E162,validation!$A$2:$B$23,2,FALSE),""))</f>
        <v>0</v>
      </c>
      <c r="E162" s="5">
        <f ca="1">IF($D162="","",IFERROR(INDEX(validation!$A$2:$A$23,MATCH($D162,validation!$B$2:$B$23,0)),""))</f>
        <v>0</v>
      </c>
    </row>
    <row r="163" spans="4:5" s="5" customFormat="1" ht="18" customHeight="1">
      <c r="D163" s="5">
        <f ca="1">IF($E163="","",IFERROR(VLOOKUP($E163,validation!$A$2:$B$23,2,FALSE),""))</f>
        <v>0</v>
      </c>
      <c r="E163" s="5">
        <f ca="1">IF($D163="","",IFERROR(INDEX(validation!$A$2:$A$23,MATCH($D163,validation!$B$2:$B$23,0)),""))</f>
        <v>0</v>
      </c>
    </row>
    <row r="164" spans="4:5" s="5" customFormat="1" ht="18" customHeight="1">
      <c r="D164" s="5">
        <f ca="1">IF($E164="","",IFERROR(VLOOKUP($E164,validation!$A$2:$B$23,2,FALSE),""))</f>
        <v>0</v>
      </c>
      <c r="E164" s="5">
        <f ca="1">IF($D164="","",IFERROR(INDEX(validation!$A$2:$A$23,MATCH($D164,validation!$B$2:$B$23,0)),""))</f>
        <v>0</v>
      </c>
    </row>
    <row r="165" spans="4:5" s="5" customFormat="1" ht="18" customHeight="1">
      <c r="D165" s="5">
        <f ca="1">IF($E165="","",IFERROR(VLOOKUP($E165,validation!$A$2:$B$23,2,FALSE),""))</f>
        <v>0</v>
      </c>
      <c r="E165" s="5">
        <f ca="1">IF($D165="","",IFERROR(INDEX(validation!$A$2:$A$23,MATCH($D165,validation!$B$2:$B$23,0)),""))</f>
        <v>0</v>
      </c>
    </row>
    <row r="166" spans="4:5" s="5" customFormat="1" ht="18" customHeight="1">
      <c r="D166" s="5">
        <f ca="1">IF($E166="","",IFERROR(VLOOKUP($E166,validation!$A$2:$B$23,2,FALSE),""))</f>
        <v>0</v>
      </c>
      <c r="E166" s="5">
        <f ca="1">IF($D166="","",IFERROR(INDEX(validation!$A$2:$A$23,MATCH($D166,validation!$B$2:$B$23,0)),""))</f>
        <v>0</v>
      </c>
    </row>
    <row r="167" spans="4:5" s="5" customFormat="1" ht="18" customHeight="1">
      <c r="D167" s="5">
        <f ca="1">IF($E167="","",IFERROR(VLOOKUP($E167,validation!$A$2:$B$23,2,FALSE),""))</f>
        <v>0</v>
      </c>
      <c r="E167" s="5">
        <f ca="1">IF($D167="","",IFERROR(INDEX(validation!$A$2:$A$23,MATCH($D167,validation!$B$2:$B$23,0)),""))</f>
        <v>0</v>
      </c>
    </row>
    <row r="168" spans="4:5" s="5" customFormat="1" ht="18" customHeight="1">
      <c r="D168" s="5">
        <f ca="1">IF($E168="","",IFERROR(VLOOKUP($E168,validation!$A$2:$B$23,2,FALSE),""))</f>
        <v>0</v>
      </c>
      <c r="E168" s="5">
        <f ca="1">IF($D168="","",IFERROR(INDEX(validation!$A$2:$A$23,MATCH($D168,validation!$B$2:$B$23,0)),""))</f>
        <v>0</v>
      </c>
    </row>
    <row r="169" spans="4:5" s="5" customFormat="1" ht="18" customHeight="1">
      <c r="D169" s="5">
        <f ca="1">IF($E169="","",IFERROR(VLOOKUP($E169,validation!$A$2:$B$23,2,FALSE),""))</f>
        <v>0</v>
      </c>
      <c r="E169" s="5">
        <f ca="1">IF($D169="","",IFERROR(INDEX(validation!$A$2:$A$23,MATCH($D169,validation!$B$2:$B$23,0)),""))</f>
        <v>0</v>
      </c>
    </row>
    <row r="170" spans="4:5" s="5" customFormat="1" ht="18" customHeight="1">
      <c r="D170" s="5">
        <f ca="1">IF($E170="","",IFERROR(VLOOKUP($E170,validation!$A$2:$B$23,2,FALSE),""))</f>
        <v>0</v>
      </c>
      <c r="E170" s="5">
        <f ca="1">IF($D170="","",IFERROR(INDEX(validation!$A$2:$A$23,MATCH($D170,validation!$B$2:$B$23,0)),""))</f>
        <v>0</v>
      </c>
    </row>
    <row r="171" spans="4:5" s="5" customFormat="1" ht="18" customHeight="1">
      <c r="D171" s="5">
        <f ca="1">IF($E171="","",IFERROR(VLOOKUP($E171,validation!$A$2:$B$23,2,FALSE),""))</f>
        <v>0</v>
      </c>
      <c r="E171" s="5">
        <f ca="1">IF($D171="","",IFERROR(INDEX(validation!$A$2:$A$23,MATCH($D171,validation!$B$2:$B$23,0)),""))</f>
        <v>0</v>
      </c>
    </row>
    <row r="172" spans="4:5" s="5" customFormat="1" ht="18" customHeight="1">
      <c r="D172" s="5">
        <f ca="1">IF($E172="","",IFERROR(VLOOKUP($E172,validation!$A$2:$B$23,2,FALSE),""))</f>
        <v>0</v>
      </c>
      <c r="E172" s="5">
        <f ca="1">IF($D172="","",IFERROR(INDEX(validation!$A$2:$A$23,MATCH($D172,validation!$B$2:$B$23,0)),""))</f>
        <v>0</v>
      </c>
    </row>
    <row r="173" spans="4:5" s="5" customFormat="1" ht="18" customHeight="1">
      <c r="D173" s="5">
        <f ca="1">IF($E173="","",IFERROR(VLOOKUP($E173,validation!$A$2:$B$23,2,FALSE),""))</f>
        <v>0</v>
      </c>
      <c r="E173" s="5">
        <f ca="1">IF($D173="","",IFERROR(INDEX(validation!$A$2:$A$23,MATCH($D173,validation!$B$2:$B$23,0)),""))</f>
        <v>0</v>
      </c>
    </row>
    <row r="174" spans="4:5" s="5" customFormat="1" ht="18" customHeight="1">
      <c r="D174" s="5">
        <f ca="1">IF($E174="","",IFERROR(VLOOKUP($E174,validation!$A$2:$B$23,2,FALSE),""))</f>
        <v>0</v>
      </c>
      <c r="E174" s="5">
        <f ca="1">IF($D174="","",IFERROR(INDEX(validation!$A$2:$A$23,MATCH($D174,validation!$B$2:$B$23,0)),""))</f>
        <v>0</v>
      </c>
    </row>
    <row r="175" spans="4:5" s="5" customFormat="1" ht="18" customHeight="1">
      <c r="D175" s="5">
        <f ca="1">IF($E175="","",IFERROR(VLOOKUP($E175,validation!$A$2:$B$23,2,FALSE),""))</f>
        <v>0</v>
      </c>
      <c r="E175" s="5">
        <f ca="1">IF($D175="","",IFERROR(INDEX(validation!$A$2:$A$23,MATCH($D175,validation!$B$2:$B$23,0)),""))</f>
        <v>0</v>
      </c>
    </row>
    <row r="176" spans="4:5" s="5" customFormat="1" ht="18" customHeight="1">
      <c r="D176" s="5">
        <f ca="1">IF($E176="","",IFERROR(VLOOKUP($E176,validation!$A$2:$B$23,2,FALSE),""))</f>
        <v>0</v>
      </c>
      <c r="E176" s="5">
        <f ca="1">IF($D176="","",IFERROR(INDEX(validation!$A$2:$A$23,MATCH($D176,validation!$B$2:$B$23,0)),""))</f>
        <v>0</v>
      </c>
    </row>
    <row r="177" spans="4:5" s="5" customFormat="1" ht="18" customHeight="1">
      <c r="D177" s="5">
        <f ca="1">IF($E177="","",IFERROR(VLOOKUP($E177,validation!$A$2:$B$23,2,FALSE),""))</f>
        <v>0</v>
      </c>
      <c r="E177" s="5">
        <f ca="1">IF($D177="","",IFERROR(INDEX(validation!$A$2:$A$23,MATCH($D177,validation!$B$2:$B$23,0)),""))</f>
        <v>0</v>
      </c>
    </row>
    <row r="178" spans="4:5" s="5" customFormat="1" ht="18" customHeight="1">
      <c r="D178" s="5">
        <f ca="1">IF($E178="","",IFERROR(VLOOKUP($E178,validation!$A$2:$B$23,2,FALSE),""))</f>
        <v>0</v>
      </c>
      <c r="E178" s="5">
        <f ca="1">IF($D178="","",IFERROR(INDEX(validation!$A$2:$A$23,MATCH($D178,validation!$B$2:$B$23,0)),""))</f>
        <v>0</v>
      </c>
    </row>
    <row r="179" spans="4:5" s="5" customFormat="1" ht="18" customHeight="1">
      <c r="D179" s="5">
        <f ca="1">IF($E179="","",IFERROR(VLOOKUP($E179,validation!$A$2:$B$23,2,FALSE),""))</f>
        <v>0</v>
      </c>
      <c r="E179" s="5">
        <f ca="1">IF($D179="","",IFERROR(INDEX(validation!$A$2:$A$23,MATCH($D179,validation!$B$2:$B$23,0)),""))</f>
        <v>0</v>
      </c>
    </row>
    <row r="180" spans="4:5" s="5" customFormat="1" ht="18" customHeight="1">
      <c r="D180" s="5">
        <f ca="1">IF($E180="","",IFERROR(VLOOKUP($E180,validation!$A$2:$B$23,2,FALSE),""))</f>
        <v>0</v>
      </c>
      <c r="E180" s="5">
        <f ca="1">IF($D180="","",IFERROR(INDEX(validation!$A$2:$A$23,MATCH($D180,validation!$B$2:$B$23,0)),""))</f>
        <v>0</v>
      </c>
    </row>
    <row r="181" spans="4:5" s="5" customFormat="1" ht="18" customHeight="1">
      <c r="D181" s="5">
        <f ca="1">IF($E181="","",IFERROR(VLOOKUP($E181,validation!$A$2:$B$23,2,FALSE),""))</f>
        <v>0</v>
      </c>
      <c r="E181" s="5">
        <f ca="1">IF($D181="","",IFERROR(INDEX(validation!$A$2:$A$23,MATCH($D181,validation!$B$2:$B$23,0)),""))</f>
        <v>0</v>
      </c>
    </row>
    <row r="182" spans="4:5" s="5" customFormat="1" ht="18" customHeight="1">
      <c r="D182" s="5">
        <f ca="1">IF($E182="","",IFERROR(VLOOKUP($E182,validation!$A$2:$B$23,2,FALSE),""))</f>
        <v>0</v>
      </c>
      <c r="E182" s="5">
        <f ca="1">IF($D182="","",IFERROR(INDEX(validation!$A$2:$A$23,MATCH($D182,validation!$B$2:$B$23,0)),""))</f>
        <v>0</v>
      </c>
    </row>
    <row r="183" spans="4:5" s="5" customFormat="1" ht="18" customHeight="1">
      <c r="D183" s="5">
        <f ca="1">IF($E183="","",IFERROR(VLOOKUP($E183,validation!$A$2:$B$23,2,FALSE),""))</f>
        <v>0</v>
      </c>
      <c r="E183" s="5">
        <f ca="1">IF($D183="","",IFERROR(INDEX(validation!$A$2:$A$23,MATCH($D183,validation!$B$2:$B$23,0)),""))</f>
        <v>0</v>
      </c>
    </row>
    <row r="184" spans="4:5" s="5" customFormat="1" ht="18" customHeight="1">
      <c r="D184" s="5">
        <f ca="1">IF($E184="","",IFERROR(VLOOKUP($E184,validation!$A$2:$B$23,2,FALSE),""))</f>
        <v>0</v>
      </c>
      <c r="E184" s="5">
        <f ca="1">IF($D184="","",IFERROR(INDEX(validation!$A$2:$A$23,MATCH($D184,validation!$B$2:$B$23,0)),""))</f>
        <v>0</v>
      </c>
    </row>
    <row r="185" spans="4:5" s="5" customFormat="1" ht="18" customHeight="1">
      <c r="D185" s="5">
        <f ca="1">IF($E185="","",IFERROR(VLOOKUP($E185,validation!$A$2:$B$23,2,FALSE),""))</f>
        <v>0</v>
      </c>
      <c r="E185" s="5">
        <f ca="1">IF($D185="","",IFERROR(INDEX(validation!$A$2:$A$23,MATCH($D185,validation!$B$2:$B$23,0)),""))</f>
        <v>0</v>
      </c>
    </row>
    <row r="186" spans="4:5" s="5" customFormat="1" ht="18" customHeight="1">
      <c r="D186" s="5">
        <f ca="1">IF($E186="","",IFERROR(VLOOKUP($E186,validation!$A$2:$B$23,2,FALSE),""))</f>
        <v>0</v>
      </c>
      <c r="E186" s="5">
        <f ca="1">IF($D186="","",IFERROR(INDEX(validation!$A$2:$A$23,MATCH($D186,validation!$B$2:$B$23,0)),""))</f>
        <v>0</v>
      </c>
    </row>
    <row r="187" spans="4:5" s="5" customFormat="1" ht="18" customHeight="1">
      <c r="D187" s="5">
        <f ca="1">IF($E187="","",IFERROR(VLOOKUP($E187,validation!$A$2:$B$23,2,FALSE),""))</f>
        <v>0</v>
      </c>
      <c r="E187" s="5">
        <f ca="1">IF($D187="","",IFERROR(INDEX(validation!$A$2:$A$23,MATCH($D187,validation!$B$2:$B$23,0)),""))</f>
        <v>0</v>
      </c>
    </row>
    <row r="188" spans="4:5" s="5" customFormat="1" ht="18" customHeight="1">
      <c r="D188" s="5">
        <f ca="1">IF($E188="","",IFERROR(VLOOKUP($E188,validation!$A$2:$B$23,2,FALSE),""))</f>
        <v>0</v>
      </c>
      <c r="E188" s="5">
        <f ca="1">IF($D188="","",IFERROR(INDEX(validation!$A$2:$A$23,MATCH($D188,validation!$B$2:$B$23,0)),""))</f>
        <v>0</v>
      </c>
    </row>
    <row r="189" spans="4:5" s="5" customFormat="1" ht="18" customHeight="1">
      <c r="D189" s="5">
        <f ca="1">IF($E189="","",IFERROR(VLOOKUP($E189,validation!$A$2:$B$23,2,FALSE),""))</f>
        <v>0</v>
      </c>
      <c r="E189" s="5">
        <f ca="1">IF($D189="","",IFERROR(INDEX(validation!$A$2:$A$23,MATCH($D189,validation!$B$2:$B$23,0)),""))</f>
        <v>0</v>
      </c>
    </row>
    <row r="190" spans="4:5" s="5" customFormat="1" ht="18" customHeight="1">
      <c r="D190" s="5">
        <f ca="1">IF($E190="","",IFERROR(VLOOKUP($E190,validation!$A$2:$B$23,2,FALSE),""))</f>
        <v>0</v>
      </c>
      <c r="E190" s="5">
        <f ca="1">IF($D190="","",IFERROR(INDEX(validation!$A$2:$A$23,MATCH($D190,validation!$B$2:$B$23,0)),""))</f>
        <v>0</v>
      </c>
    </row>
    <row r="191" spans="4:5" s="5" customFormat="1" ht="18" customHeight="1">
      <c r="D191" s="5">
        <f ca="1">IF($E191="","",IFERROR(VLOOKUP($E191,validation!$A$2:$B$23,2,FALSE),""))</f>
        <v>0</v>
      </c>
      <c r="E191" s="5">
        <f ca="1">IF($D191="","",IFERROR(INDEX(validation!$A$2:$A$23,MATCH($D191,validation!$B$2:$B$23,0)),""))</f>
        <v>0</v>
      </c>
    </row>
    <row r="192" spans="4:5" s="5" customFormat="1" ht="18" customHeight="1">
      <c r="D192" s="5">
        <f ca="1">IF($E192="","",IFERROR(VLOOKUP($E192,validation!$A$2:$B$23,2,FALSE),""))</f>
        <v>0</v>
      </c>
      <c r="E192" s="5">
        <f ca="1">IF($D192="","",IFERROR(INDEX(validation!$A$2:$A$23,MATCH($D192,validation!$B$2:$B$23,0)),""))</f>
        <v>0</v>
      </c>
    </row>
    <row r="193" spans="4:5" s="5" customFormat="1" ht="18" customHeight="1">
      <c r="D193" s="5">
        <f ca="1">IF($E193="","",IFERROR(VLOOKUP($E193,validation!$A$2:$B$23,2,FALSE),""))</f>
        <v>0</v>
      </c>
      <c r="E193" s="5">
        <f ca="1">IF($D193="","",IFERROR(INDEX(validation!$A$2:$A$23,MATCH($D193,validation!$B$2:$B$23,0)),""))</f>
        <v>0</v>
      </c>
    </row>
    <row r="194" spans="4:5" s="5" customFormat="1" ht="18" customHeight="1">
      <c r="D194" s="5">
        <f ca="1">IF($E194="","",IFERROR(VLOOKUP($E194,validation!$A$2:$B$23,2,FALSE),""))</f>
        <v>0</v>
      </c>
      <c r="E194" s="5">
        <f ca="1">IF($D194="","",IFERROR(INDEX(validation!$A$2:$A$23,MATCH($D194,validation!$B$2:$B$23,0)),""))</f>
        <v>0</v>
      </c>
    </row>
    <row r="195" spans="4:5" s="5" customFormat="1" ht="18" customHeight="1">
      <c r="D195" s="5">
        <f ca="1">IF($E195="","",IFERROR(VLOOKUP($E195,validation!$A$2:$B$23,2,FALSE),""))</f>
        <v>0</v>
      </c>
      <c r="E195" s="5">
        <f ca="1">IF($D195="","",IFERROR(INDEX(validation!$A$2:$A$23,MATCH($D195,validation!$B$2:$B$23,0)),""))</f>
        <v>0</v>
      </c>
    </row>
    <row r="196" spans="4:5" s="5" customFormat="1" ht="18" customHeight="1">
      <c r="D196" s="5">
        <f ca="1">IF($E196="","",IFERROR(VLOOKUP($E196,validation!$A$2:$B$23,2,FALSE),""))</f>
        <v>0</v>
      </c>
      <c r="E196" s="5">
        <f ca="1">IF($D196="","",IFERROR(INDEX(validation!$A$2:$A$23,MATCH($D196,validation!$B$2:$B$23,0)),""))</f>
        <v>0</v>
      </c>
    </row>
    <row r="197" spans="4:5" s="5" customFormat="1" ht="18" customHeight="1">
      <c r="D197" s="5">
        <f ca="1">IF($E197="","",IFERROR(VLOOKUP($E197,validation!$A$2:$B$23,2,FALSE),""))</f>
        <v>0</v>
      </c>
      <c r="E197" s="5">
        <f ca="1">IF($D197="","",IFERROR(INDEX(validation!$A$2:$A$23,MATCH($D197,validation!$B$2:$B$23,0)),""))</f>
        <v>0</v>
      </c>
    </row>
    <row r="198" spans="4:5" s="5" customFormat="1" ht="18" customHeight="1">
      <c r="D198" s="5">
        <f ca="1">IF($E198="","",IFERROR(VLOOKUP($E198,validation!$A$2:$B$23,2,FALSE),""))</f>
        <v>0</v>
      </c>
      <c r="E198" s="5">
        <f ca="1">IF($D198="","",IFERROR(INDEX(validation!$A$2:$A$23,MATCH($D198,validation!$B$2:$B$23,0)),""))</f>
        <v>0</v>
      </c>
    </row>
    <row r="199" spans="4:5" s="5" customFormat="1" ht="18" customHeight="1">
      <c r="D199" s="5">
        <f ca="1">IF($E199="","",IFERROR(VLOOKUP($E199,validation!$A$2:$B$23,2,FALSE),""))</f>
        <v>0</v>
      </c>
      <c r="E199" s="5">
        <f ca="1">IF($D199="","",IFERROR(INDEX(validation!$A$2:$A$23,MATCH($D199,validation!$B$2:$B$23,0)),""))</f>
        <v>0</v>
      </c>
    </row>
    <row r="200" spans="4:5" s="5" customFormat="1" ht="18" customHeight="1">
      <c r="D200" s="5">
        <f ca="1">IF($E200="","",IFERROR(VLOOKUP($E200,validation!$A$2:$B$23,2,FALSE),""))</f>
        <v>0</v>
      </c>
      <c r="E200" s="5">
        <f ca="1">IF($D200="","",IFERROR(INDEX(validation!$A$2:$A$23,MATCH($D200,validation!$B$2:$B$23,0)),""))</f>
        <v>0</v>
      </c>
    </row>
  </sheetData>
  <dataValidations count="1">
    <dataValidation type="list" allowBlank="1" showInputMessage="1" showErrorMessage="1" sqref="F4:F200" xr:uid="{00000000-0002-0000-0200-000000000000}">
      <formula1>"variant-centric,gene-centric"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1000000}">
          <x14:formula1>
            <xm:f>validation!$A$2:$A$23</xm:f>
          </x14:formula1>
          <xm:sqref>E4:E200</xm:sqref>
        </x14:dataValidation>
        <x14:dataValidation type="list" allowBlank="1" showInputMessage="1" showErrorMessage="1" xr:uid="{00000000-0002-0000-0200-000002000000}">
          <x14:formula1>
            <xm:f>validation!$B$2:$B$23</xm:f>
          </x14:formula1>
          <xm:sqref>D4:D200</xm:sqref>
        </x14:dataValidation>
        <x14:dataValidation type="list" allowBlank="1" showInputMessage="1" showErrorMessage="1" xr:uid="{00000000-0002-0000-0200-000003000000}">
          <x14:formula1>
            <xm:f>Source!$A$4:$A$200</xm:f>
          </x14:formula1>
          <xm:sqref>G4:G200</xm:sqref>
        </x14:dataValidation>
        <x14:dataValidation type="custom" allowBlank="1" showInputMessage="1" showErrorMessage="1" errorTitle="Unknown source_tag" error="Enter a source_tag defined in the Source sheet with its required fields filled." xr:uid="{00000000-0002-0000-0200-000004000000}">
          <x14:formula1>
            <xm:f>IF($G4="",TRUE,AND(ISNUMBER(MATCH($G4,Source!$A$4:$A$200,0)),INDEX(Source!$A$4:$A$200,MATCH($G4,Source!$A$4:$A$200,0))&lt;&gt;""))</xm:f>
          </x14:formula1>
          <xm:sqref>G4:G200</xm:sqref>
        </x14:dataValidation>
        <x14:dataValidation type="list" allowBlank="1" showInputMessage="1" showErrorMessage="1" xr:uid="{00000000-0002-0000-0200-0000C9000000}">
          <x14:formula1>
            <xm:f>Method!$A$4:$A$200</xm:f>
          </x14:formula1>
          <xm:sqref>H4:H200</xm:sqref>
        </x14:dataValidation>
        <x14:dataValidation type="custom" allowBlank="1" showInputMessage="1" showErrorMessage="1" errorTitle="Unknown method_tag" error="Enter a method_tag defined in the Method sheet with its required fields filled." xr:uid="{00000000-0002-0000-0200-0000CA000000}">
          <x14:formula1>
            <xm:f>IF($H4="",TRUE,AND(ISNUMBER(MATCH($H4,Method!$A$4:$A$200,0)),INDEX(Method!$A$4:$A$200,MATCH($H4,Method!$A$4:$A$200,0))&lt;&gt;"",INDEX(Method!$B$4:$B$200,MATCH($H4,Method!$A$4:$A$200,0))&lt;&gt;"",INDEX(Method!$C$4:$C$200,MATCH($H4,Method!$A$4:$A$200,0))&lt;&gt;""))</xm:f>
          </x14:formula1>
          <xm:sqref>H4:H200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baseColWidth="10" defaultColWidth="8.83203125" defaultRowHeight="15"/>
  <sheetData>
    <row r="1" spans="1:2">
      <c r="A1" t="s">
        <v>66</v>
      </c>
      <c r="B1" t="s">
        <v>65</v>
      </c>
    </row>
    <row r="2" spans="1:2">
      <c r="A2" t="s">
        <v>81</v>
      </c>
      <c r="B2" t="s">
        <v>82</v>
      </c>
    </row>
    <row r="3" spans="1:2">
      <c r="A3" t="s">
        <v>83</v>
      </c>
      <c r="B3" t="s">
        <v>84</v>
      </c>
    </row>
    <row r="4" spans="1:2">
      <c r="A4" t="s">
        <v>85</v>
      </c>
      <c r="B4" t="s">
        <v>86</v>
      </c>
    </row>
    <row r="5" spans="1:2">
      <c r="A5" t="s">
        <v>87</v>
      </c>
      <c r="B5" t="s">
        <v>88</v>
      </c>
    </row>
    <row r="6" spans="1:2">
      <c r="A6" t="s">
        <v>89</v>
      </c>
      <c r="B6" t="s">
        <v>90</v>
      </c>
    </row>
    <row r="7" spans="1:2">
      <c r="A7" t="s">
        <v>91</v>
      </c>
      <c r="B7" t="s">
        <v>92</v>
      </c>
    </row>
    <row r="8" spans="1:2">
      <c r="A8" t="s">
        <v>93</v>
      </c>
      <c r="B8" t="s">
        <v>94</v>
      </c>
    </row>
    <row r="9" spans="1:2">
      <c r="A9" t="s">
        <v>95</v>
      </c>
      <c r="B9" t="s">
        <v>96</v>
      </c>
    </row>
    <row r="10" spans="1:2">
      <c r="A10" t="s">
        <v>97</v>
      </c>
      <c r="B10" t="s">
        <v>98</v>
      </c>
    </row>
    <row r="11" spans="1:2">
      <c r="A11" t="s">
        <v>99</v>
      </c>
      <c r="B11" t="s">
        <v>100</v>
      </c>
    </row>
    <row r="12" spans="1:2">
      <c r="A12" t="s">
        <v>101</v>
      </c>
      <c r="B12" t="s">
        <v>102</v>
      </c>
    </row>
    <row r="13" spans="1:2">
      <c r="A13" t="s">
        <v>103</v>
      </c>
      <c r="B13" t="s">
        <v>104</v>
      </c>
    </row>
    <row r="14" spans="1:2">
      <c r="A14" t="s">
        <v>105</v>
      </c>
      <c r="B14" t="s">
        <v>106</v>
      </c>
    </row>
    <row r="15" spans="1:2">
      <c r="A15" t="s">
        <v>107</v>
      </c>
      <c r="B15" t="s">
        <v>108</v>
      </c>
    </row>
    <row r="16" spans="1:2">
      <c r="A16" t="s">
        <v>109</v>
      </c>
      <c r="B16" t="s">
        <v>110</v>
      </c>
    </row>
    <row r="17" spans="1:2">
      <c r="A17" t="s">
        <v>111</v>
      </c>
      <c r="B17" t="s">
        <v>112</v>
      </c>
    </row>
    <row r="18" spans="1:2">
      <c r="A18" t="s">
        <v>113</v>
      </c>
      <c r="B18" t="s">
        <v>114</v>
      </c>
    </row>
    <row r="19" spans="1:2">
      <c r="A19" t="s">
        <v>115</v>
      </c>
      <c r="B19" t="s">
        <v>116</v>
      </c>
    </row>
    <row r="20" spans="1:2">
      <c r="A20" t="s">
        <v>76</v>
      </c>
      <c r="B20" t="s">
        <v>75</v>
      </c>
    </row>
    <row r="21" spans="1:2">
      <c r="A21" t="s">
        <v>117</v>
      </c>
      <c r="B21" t="s">
        <v>118</v>
      </c>
    </row>
    <row r="22" spans="1:2">
      <c r="A22" t="s">
        <v>119</v>
      </c>
      <c r="B22" t="s">
        <v>120</v>
      </c>
    </row>
    <row r="23" spans="1:2">
      <c r="A23" t="s">
        <v>121</v>
      </c>
      <c r="B2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"/>
  <sheetViews>
    <sheetView workbookViewId="0">
      <pane ySplit="3" topLeftCell="A4" activePane="bottomLeft" state="frozen"/>
      <selection pane="bottomLeft" activeCell="D5" sqref="D5"/>
    </sheetView>
  </sheetViews>
  <sheetFormatPr baseColWidth="10" defaultColWidth="8.83203125" defaultRowHeight="15"/>
  <cols>
    <col min="1" max="1" width="22.6640625" customWidth="1"/>
    <col min="2" max="2" width="15.6640625" customWidth="1"/>
    <col min="3" max="3" width="20.6640625" customWidth="1"/>
    <col min="4" max="4" width="21.6640625" customWidth="1"/>
    <col min="5" max="5" width="27.6640625" customWidth="1"/>
    <col min="6" max="6" width="23.6640625" customWidth="1"/>
    <col min="7" max="8" width="14.6640625" customWidth="1"/>
    <col min="9" max="9" width="17.6640625" customWidth="1"/>
  </cols>
  <sheetData>
    <row r="1" spans="1:9" ht="42" customHeight="1">
      <c r="A1" s="1" t="s">
        <v>123</v>
      </c>
      <c r="B1" s="1" t="s">
        <v>52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60</v>
      </c>
      <c r="I1" s="1" t="s">
        <v>129</v>
      </c>
    </row>
    <row r="2" spans="1:9" ht="22" customHeight="1">
      <c r="A2" s="2" t="s">
        <v>130</v>
      </c>
      <c r="B2" s="2" t="s">
        <v>62</v>
      </c>
      <c r="C2" s="2" t="s">
        <v>63</v>
      </c>
      <c r="D2" s="2" t="s">
        <v>131</v>
      </c>
      <c r="E2" s="3" t="s">
        <v>132</v>
      </c>
      <c r="F2" s="3" t="s">
        <v>133</v>
      </c>
      <c r="G2" s="2" t="s">
        <v>69</v>
      </c>
      <c r="H2" s="3" t="s">
        <v>70</v>
      </c>
      <c r="I2" s="3" t="s">
        <v>134</v>
      </c>
    </row>
    <row r="3" spans="1:9" ht="36" customHeight="1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  <c r="H3" s="4" t="s">
        <v>142</v>
      </c>
      <c r="I3" s="4"/>
    </row>
    <row r="4" spans="1:9" s="5" customFormat="1" ht="18" customHeight="1">
      <c r="A4" t="s">
        <v>136</v>
      </c>
      <c r="B4" t="s">
        <v>222</v>
      </c>
      <c r="C4" t="s">
        <v>135</v>
      </c>
      <c r="D4" s="5" t="b">
        <v>0</v>
      </c>
      <c r="E4" t="s">
        <v>223</v>
      </c>
      <c r="F4" t="s">
        <v>48</v>
      </c>
      <c r="G4" t="s">
        <v>141</v>
      </c>
      <c r="H4" s="8" t="s">
        <v>253</v>
      </c>
      <c r="I4" t="s">
        <v>48</v>
      </c>
    </row>
    <row r="5" spans="1:9" s="5" customFormat="1" ht="18" customHeight="1">
      <c r="A5" s="9" t="s">
        <v>224</v>
      </c>
      <c r="B5" s="9" t="s">
        <v>225</v>
      </c>
      <c r="C5" s="9" t="s">
        <v>226</v>
      </c>
      <c r="D5" s="5" t="b">
        <v>1</v>
      </c>
      <c r="E5" s="9" t="s">
        <v>227</v>
      </c>
      <c r="F5" s="9" t="s">
        <v>135</v>
      </c>
      <c r="G5" s="9" t="s">
        <v>228</v>
      </c>
      <c r="H5" t="s">
        <v>48</v>
      </c>
      <c r="I5" t="s">
        <v>48</v>
      </c>
    </row>
    <row r="6" spans="1:9" s="5" customFormat="1" ht="18" customHeight="1"/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D6:D200 E4:E5" xr:uid="{00000000-0002-0000-0400-000000000000}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0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8.83203125" defaultRowHeight="15"/>
  <cols>
    <col min="1" max="1" width="21.6640625" customWidth="1"/>
    <col min="2" max="2" width="14.6640625" customWidth="1"/>
    <col min="3" max="3" width="24.6640625" customWidth="1"/>
    <col min="4" max="4" width="14.6640625" customWidth="1"/>
    <col min="5" max="5" width="24.6640625" customWidth="1"/>
    <col min="6" max="6" width="14.6640625" customWidth="1"/>
    <col min="7" max="7" width="24.6640625" customWidth="1"/>
    <col min="8" max="8" width="18.6640625" customWidth="1"/>
    <col min="9" max="10" width="14.6640625" customWidth="1"/>
    <col min="11" max="11" width="15.6640625" customWidth="1"/>
    <col min="12" max="12" width="14.6640625" customWidth="1"/>
    <col min="13" max="14" width="15.6640625" customWidth="1"/>
    <col min="15" max="16" width="14.6640625" customWidth="1"/>
    <col min="17" max="17" width="17.6640625" customWidth="1"/>
  </cols>
  <sheetData>
    <row r="1" spans="1:17" ht="42" customHeight="1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</row>
    <row r="2" spans="1:17" ht="22" customHeight="1">
      <c r="A2" s="2" t="s">
        <v>68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  <c r="I2" s="3" t="s">
        <v>167</v>
      </c>
      <c r="J2" s="3" t="s">
        <v>168</v>
      </c>
      <c r="K2" s="3" t="s">
        <v>169</v>
      </c>
      <c r="L2" s="3" t="s">
        <v>170</v>
      </c>
      <c r="M2" s="3" t="s">
        <v>171</v>
      </c>
      <c r="N2" s="3" t="s">
        <v>172</v>
      </c>
      <c r="O2" s="3" t="s">
        <v>173</v>
      </c>
      <c r="P2" s="3" t="s">
        <v>174</v>
      </c>
      <c r="Q2" s="3" t="s">
        <v>175</v>
      </c>
    </row>
    <row r="3" spans="1:17" ht="36" customHeight="1" thickBot="1">
      <c r="A3" s="4" t="s">
        <v>78</v>
      </c>
      <c r="B3" s="4" t="s">
        <v>176</v>
      </c>
      <c r="C3" s="4" t="s">
        <v>177</v>
      </c>
      <c r="D3" s="4" t="s">
        <v>178</v>
      </c>
      <c r="E3" s="4" t="s">
        <v>179</v>
      </c>
      <c r="F3" s="4" t="s">
        <v>180</v>
      </c>
      <c r="G3" s="4" t="s">
        <v>181</v>
      </c>
      <c r="H3" s="4" t="s">
        <v>182</v>
      </c>
      <c r="I3" s="4" t="s">
        <v>183</v>
      </c>
      <c r="J3" s="4" t="s">
        <v>184</v>
      </c>
      <c r="K3" s="4" t="s">
        <v>185</v>
      </c>
      <c r="L3" s="4" t="s">
        <v>186</v>
      </c>
      <c r="M3" s="4" t="s">
        <v>187</v>
      </c>
      <c r="N3" s="4" t="s">
        <v>188</v>
      </c>
      <c r="O3" s="4" t="s">
        <v>189</v>
      </c>
      <c r="P3" s="4" t="s">
        <v>190</v>
      </c>
      <c r="Q3" s="4" t="s">
        <v>191</v>
      </c>
    </row>
    <row r="4" spans="1:17" s="5" customFormat="1" ht="18" customHeight="1">
      <c r="A4" t="s">
        <v>218</v>
      </c>
      <c r="B4" t="s">
        <v>229</v>
      </c>
      <c r="C4" t="s">
        <v>230</v>
      </c>
      <c r="D4" t="s">
        <v>231</v>
      </c>
      <c r="E4" t="s">
        <v>232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</row>
    <row r="5" spans="1:17" s="5" customFormat="1" ht="18" customHeight="1">
      <c r="A5" t="s">
        <v>219</v>
      </c>
      <c r="B5" t="s">
        <v>176</v>
      </c>
      <c r="C5" t="s">
        <v>233</v>
      </c>
      <c r="D5" t="s">
        <v>234</v>
      </c>
      <c r="E5" s="10" t="s">
        <v>235</v>
      </c>
      <c r="F5" t="s">
        <v>48</v>
      </c>
      <c r="G5" t="s">
        <v>48</v>
      </c>
      <c r="H5" t="s">
        <v>183</v>
      </c>
      <c r="I5" t="s">
        <v>236</v>
      </c>
      <c r="J5" t="s">
        <v>48</v>
      </c>
      <c r="L5" t="s">
        <v>186</v>
      </c>
      <c r="M5" t="s">
        <v>187</v>
      </c>
      <c r="N5" t="s">
        <v>237</v>
      </c>
      <c r="O5" t="s">
        <v>189</v>
      </c>
      <c r="P5" t="s">
        <v>246</v>
      </c>
    </row>
    <row r="6" spans="1:17" s="5" customFormat="1" ht="18" customHeight="1">
      <c r="A6" t="s">
        <v>220</v>
      </c>
      <c r="B6" t="s">
        <v>176</v>
      </c>
      <c r="C6" t="s">
        <v>238</v>
      </c>
      <c r="D6" t="s">
        <v>234</v>
      </c>
      <c r="E6" s="10" t="s">
        <v>239</v>
      </c>
      <c r="F6" t="s">
        <v>48</v>
      </c>
      <c r="G6" t="s">
        <v>48</v>
      </c>
      <c r="H6" t="s">
        <v>183</v>
      </c>
      <c r="I6" t="s">
        <v>236</v>
      </c>
      <c r="J6" t="s">
        <v>48</v>
      </c>
      <c r="L6" t="s">
        <v>186</v>
      </c>
      <c r="M6" t="s">
        <v>187</v>
      </c>
      <c r="N6" t="s">
        <v>237</v>
      </c>
      <c r="O6" t="s">
        <v>189</v>
      </c>
      <c r="P6" t="s">
        <v>246</v>
      </c>
    </row>
    <row r="7" spans="1:17" s="5" customFormat="1" ht="18" customHeight="1">
      <c r="A7" t="s">
        <v>221</v>
      </c>
      <c r="B7" t="s">
        <v>240</v>
      </c>
      <c r="C7" t="s">
        <v>241</v>
      </c>
      <c r="D7" t="s">
        <v>254</v>
      </c>
      <c r="E7" t="s">
        <v>242</v>
      </c>
      <c r="F7" t="s">
        <v>48</v>
      </c>
      <c r="G7" t="s">
        <v>48</v>
      </c>
      <c r="H7" t="s">
        <v>243</v>
      </c>
      <c r="I7" t="s">
        <v>244</v>
      </c>
      <c r="J7" t="s">
        <v>48</v>
      </c>
      <c r="L7" t="s">
        <v>48</v>
      </c>
      <c r="M7" t="s">
        <v>189</v>
      </c>
      <c r="N7" t="s">
        <v>245</v>
      </c>
      <c r="O7" t="s">
        <v>189</v>
      </c>
      <c r="P7" t="s">
        <v>247</v>
      </c>
    </row>
    <row r="8" spans="1:17" s="5" customFormat="1" ht="18" customHeight="1"/>
    <row r="9" spans="1:17" s="5" customFormat="1" ht="18" customHeight="1">
      <c r="A9"/>
    </row>
    <row r="10" spans="1:17" s="5" customFormat="1" ht="18" customHeight="1">
      <c r="A10"/>
    </row>
    <row r="11" spans="1:17" s="5" customFormat="1" ht="18" customHeight="1"/>
    <row r="12" spans="1:17" s="5" customFormat="1" ht="18" customHeight="1"/>
    <row r="13" spans="1:17" s="5" customFormat="1" ht="18" customHeight="1"/>
    <row r="14" spans="1:17" s="5" customFormat="1" ht="18" customHeight="1"/>
    <row r="15" spans="1:17" s="5" customFormat="1" ht="18" customHeight="1"/>
    <row r="16" spans="1:17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4">
    <dataValidation type="list" allowBlank="1" showInputMessage="1" showErrorMessage="1" sqref="O4:O200" xr:uid="{00000000-0002-0000-0500-000001000000}">
      <formula1>"male,female,mixed,unknown"</formula1>
    </dataValidation>
    <dataValidation type="list" allowBlank="1" showInputMessage="1" showErrorMessage="1" sqref="L8:L200 N4:N7" xr:uid="{00000000-0002-0000-0500-000000000000}">
      <formula1>"healthy,disease"</formula1>
    </dataValidation>
    <dataValidation type="custom" allowBlank="1" showInputMessage="1" showErrorMessage="1" errorTitle="Unknown source_tag" error="Enter a source_tag defined in the Source sheet with its required fields filled." sqref="A9:A10 A5:A6" xr:uid="{0BDBA826-7EA0-1742-968D-511F0CF10F11}">
      <formula1>IF($G5="",TRUE,AND(ISNUMBER(MATCH($G5,$A$4:$A$200,0)),INDEX($A$4:$A$200,MATCH($G5,$A$4:$A$200,0))&lt;&gt;""))</formula1>
    </dataValidation>
    <dataValidation type="list" allowBlank="1" showInputMessage="1" showErrorMessage="1" sqref="A9:A10 A5:A6" xr:uid="{68AD3632-C473-EB4C-BE97-2B0518B6AC98}">
      <formula1>$A$4:$A$200</formula1>
    </dataValidation>
  </dataValidations>
  <hyperlinks>
    <hyperlink ref="E3" r:id="rId1" xr:uid="{00000000-0004-0000-0500-000000000000}"/>
    <hyperlink ref="E5" r:id="rId2" xr:uid="{F271DCBB-D206-6E45-8DEE-2A3B01405510}"/>
    <hyperlink ref="E6" r:id="rId3" xr:uid="{4324F7AF-1872-8C4F-8968-C03ACDFFF37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0"/>
  <sheetViews>
    <sheetView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5"/>
  <cols>
    <col min="1" max="1" width="16.6640625" customWidth="1"/>
    <col min="2" max="2" width="14.6640625" customWidth="1"/>
    <col min="3" max="3" width="30.6640625" customWidth="1"/>
    <col min="4" max="4" width="15.6640625" customWidth="1"/>
    <col min="5" max="5" width="18.6640625" customWidth="1"/>
    <col min="6" max="7" width="24.6640625" customWidth="1"/>
    <col min="8" max="8" width="20.6640625" customWidth="1"/>
    <col min="9" max="9" width="15.6640625" customWidth="1"/>
  </cols>
  <sheetData>
    <row r="1" spans="1:9" ht="42" customHeight="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199</v>
      </c>
    </row>
    <row r="2" spans="1:9" ht="22" customHeight="1">
      <c r="A2" s="2" t="s">
        <v>69</v>
      </c>
      <c r="B2" s="2" t="s">
        <v>200</v>
      </c>
      <c r="C2" s="2" t="s">
        <v>201</v>
      </c>
      <c r="D2" s="3" t="s">
        <v>202</v>
      </c>
      <c r="E2" s="3" t="s">
        <v>203</v>
      </c>
      <c r="F2" s="3" t="s">
        <v>204</v>
      </c>
      <c r="G2" s="3" t="s">
        <v>205</v>
      </c>
      <c r="H2" s="3" t="s">
        <v>206</v>
      </c>
      <c r="I2" s="3" t="s">
        <v>71</v>
      </c>
    </row>
    <row r="3" spans="1:9" ht="36" customHeight="1" thickBot="1">
      <c r="A3" s="4" t="s">
        <v>79</v>
      </c>
      <c r="B3" s="4" t="s">
        <v>207</v>
      </c>
      <c r="C3" s="4" t="s">
        <v>208</v>
      </c>
      <c r="D3" s="4" t="s">
        <v>209</v>
      </c>
      <c r="E3" s="4" t="s">
        <v>210</v>
      </c>
      <c r="F3" s="4" t="s">
        <v>211</v>
      </c>
      <c r="G3" s="4" t="s">
        <v>212</v>
      </c>
      <c r="H3" s="4" t="s">
        <v>213</v>
      </c>
      <c r="I3" s="4"/>
    </row>
    <row r="4" spans="1:9" s="5" customFormat="1" ht="18" customHeight="1">
      <c r="A4" s="11" t="s">
        <v>79</v>
      </c>
      <c r="B4" s="11" t="s">
        <v>207</v>
      </c>
      <c r="C4" s="5" t="s">
        <v>208</v>
      </c>
      <c r="D4" s="11" t="s">
        <v>209</v>
      </c>
      <c r="E4" s="11" t="s">
        <v>210</v>
      </c>
      <c r="F4" s="10" t="s">
        <v>211</v>
      </c>
      <c r="G4" s="11" t="s">
        <v>212</v>
      </c>
      <c r="H4" s="11" t="s">
        <v>48</v>
      </c>
    </row>
    <row r="5" spans="1:9" s="5" customFormat="1" ht="18" customHeight="1">
      <c r="A5" s="11" t="s">
        <v>141</v>
      </c>
      <c r="B5" s="11" t="s">
        <v>207</v>
      </c>
      <c r="C5" s="5" t="s">
        <v>208</v>
      </c>
      <c r="D5" s="11" t="s">
        <v>248</v>
      </c>
      <c r="E5" s="11" t="s">
        <v>210</v>
      </c>
      <c r="F5" s="10" t="s">
        <v>249</v>
      </c>
      <c r="G5" s="11" t="s">
        <v>250</v>
      </c>
      <c r="H5" s="11" t="s">
        <v>48</v>
      </c>
    </row>
    <row r="6" spans="1:9" s="5" customFormat="1" ht="18" customHeight="1">
      <c r="A6" s="9" t="s">
        <v>228</v>
      </c>
      <c r="B6" s="11" t="s">
        <v>251</v>
      </c>
      <c r="C6" s="5" t="s">
        <v>208</v>
      </c>
      <c r="D6" s="11" t="s">
        <v>48</v>
      </c>
      <c r="E6" s="11" t="s">
        <v>48</v>
      </c>
      <c r="F6" s="11" t="s">
        <v>48</v>
      </c>
      <c r="G6" s="11" t="s">
        <v>48</v>
      </c>
      <c r="H6" s="12" t="s">
        <v>252</v>
      </c>
    </row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phoneticPr fontId="10" type="noConversion"/>
  <dataValidations count="2">
    <dataValidation type="list" allowBlank="1" showInputMessage="1" showErrorMessage="1" sqref="B4:B200" xr:uid="{00000000-0002-0000-0600-000000000000}">
      <formula1>"software,manual"</formula1>
    </dataValidation>
    <dataValidation type="list" allowBlank="1" showInputMessage="1" showErrorMessage="1" sqref="D4:D6 C4:C200" xr:uid="{00000000-0002-0000-0600-000001000000}">
      <formula1>"ECO_0000218,ECO_0000203,ECO_0007674,ECO_0007673"</formula1>
    </dataValidation>
  </dataValidations>
  <hyperlinks>
    <hyperlink ref="F3" r:id="rId1" xr:uid="{00000000-0004-0000-0600-000000000000}"/>
    <hyperlink ref="F5" r:id="rId2" xr:uid="{3E174E23-225E-964A-92BE-60C6E28FA6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DatasetDescription</vt:lpstr>
      <vt:lpstr>GenomicIdentifier</vt:lpstr>
      <vt:lpstr>Evidence</vt:lpstr>
      <vt:lpstr>validation</vt:lpstr>
      <vt:lpstr>Integration</vt:lpstr>
      <vt:lpstr>Source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Ji</cp:lastModifiedBy>
  <dcterms:created xsi:type="dcterms:W3CDTF">2025-12-22T21:20:00Z</dcterms:created>
  <dcterms:modified xsi:type="dcterms:W3CDTF">2026-01-27T22:01:31Z</dcterms:modified>
</cp:coreProperties>
</file>